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809" codeName="{B1BEFC71-4687-E4F5-767E-874F2C42665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iyanka/eclipse-workspace/Epay.o1/"/>
    </mc:Choice>
  </mc:AlternateContent>
  <bookViews>
    <workbookView xWindow="960" yWindow="440" windowWidth="36540" windowHeight="18600" tabRatio="780" activeTab="2"/>
  </bookViews>
  <sheets>
    <sheet name="Config" sheetId="1" r:id="rId1"/>
    <sheet name="Drive" sheetId="10" r:id="rId2"/>
    <sheet name="TestCases" sheetId="5" r:id="rId3"/>
    <sheet name="Status" sheetId="9" r:id="rId4"/>
  </sheets>
  <definedNames>
    <definedName name="Key_Strokes">Config!$B$71:$B$77</definedName>
    <definedName name="Keyboard_Key">Config!$C$71:$C$140</definedName>
  </definedNames>
  <calcPr calcId="150001" iterate="1" iterateCount="3" iterateDelta="9.9999946542084217E-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Z25" i="10" l="1"/>
  <c r="C25" i="10"/>
  <c r="A25" i="10"/>
  <c r="Z24" i="10"/>
  <c r="C24" i="10"/>
  <c r="A24" i="10"/>
  <c r="Z23" i="10"/>
  <c r="C23" i="10"/>
  <c r="A23" i="10"/>
  <c r="Z22" i="10"/>
  <c r="C22" i="10"/>
  <c r="A22" i="10"/>
  <c r="Z21" i="10"/>
  <c r="C21" i="10"/>
  <c r="A21" i="10"/>
  <c r="Z20" i="10"/>
  <c r="C20" i="10"/>
  <c r="A20" i="10"/>
  <c r="Z19" i="10"/>
  <c r="C19" i="10"/>
  <c r="A19" i="10"/>
  <c r="Z18" i="10"/>
  <c r="C18" i="10"/>
  <c r="A18" i="10"/>
  <c r="Z17" i="10"/>
  <c r="C17" i="10"/>
  <c r="A17" i="10"/>
  <c r="Z16" i="10"/>
  <c r="C16" i="10"/>
  <c r="A16" i="10"/>
  <c r="Z15" i="10"/>
  <c r="C15" i="10"/>
  <c r="A15" i="10"/>
  <c r="Z14" i="10"/>
  <c r="C14" i="10"/>
  <c r="A14" i="10"/>
  <c r="Z13" i="10"/>
  <c r="C13" i="10"/>
  <c r="A13" i="10"/>
  <c r="Z12" i="10"/>
  <c r="C12" i="10"/>
  <c r="A12" i="10"/>
  <c r="Z11" i="10"/>
  <c r="C11" i="10"/>
  <c r="A11" i="10"/>
  <c r="Z10" i="10"/>
  <c r="C10" i="10"/>
  <c r="A10" i="10"/>
  <c r="Z9" i="10"/>
  <c r="C9" i="10"/>
  <c r="A9" i="10"/>
  <c r="Z8" i="10"/>
  <c r="C8" i="10"/>
  <c r="A8" i="10"/>
  <c r="Z7" i="10"/>
  <c r="C7" i="10"/>
  <c r="A7" i="10"/>
  <c r="Z6" i="10"/>
  <c r="C6" i="10"/>
  <c r="A6" i="10"/>
  <c r="Z5" i="10"/>
  <c r="C5" i="10"/>
  <c r="A5" i="10"/>
  <c r="Z4" i="10"/>
  <c r="C4" i="10"/>
  <c r="A4" i="10"/>
  <c r="Z3" i="10"/>
  <c r="C3" i="10"/>
  <c r="A3" i="10"/>
  <c r="Z2" i="10"/>
  <c r="C2" i="10"/>
  <c r="A2" i="10"/>
  <c r="Z136" i="10"/>
  <c r="C136" i="10"/>
  <c r="A136" i="10"/>
  <c r="Z135" i="10"/>
  <c r="C135" i="10"/>
  <c r="A135" i="10"/>
  <c r="Z134" i="10"/>
  <c r="C134" i="10"/>
  <c r="A134" i="10"/>
  <c r="Z133" i="10"/>
  <c r="C133" i="10"/>
  <c r="A133" i="10"/>
  <c r="Z132" i="10"/>
  <c r="C132" i="10"/>
  <c r="A132" i="10"/>
  <c r="Z131" i="10"/>
  <c r="C131" i="10"/>
  <c r="A131" i="10"/>
  <c r="Z130" i="10"/>
  <c r="C130" i="10"/>
  <c r="A130" i="10"/>
  <c r="Z129" i="10"/>
  <c r="C129" i="10"/>
  <c r="A129" i="10"/>
  <c r="Z128" i="10"/>
  <c r="C128" i="10"/>
  <c r="A128" i="10"/>
  <c r="Z122" i="10"/>
  <c r="C122" i="10"/>
  <c r="A122" i="10"/>
  <c r="Z127" i="10"/>
  <c r="C127" i="10"/>
  <c r="A127" i="10"/>
  <c r="Z126" i="10"/>
  <c r="C126" i="10"/>
  <c r="A126" i="10"/>
  <c r="Z125" i="10"/>
  <c r="C125" i="10"/>
  <c r="A125" i="10"/>
  <c r="Z124" i="10"/>
  <c r="C124" i="10"/>
  <c r="A124" i="10"/>
  <c r="Z123" i="10"/>
  <c r="C123" i="10"/>
  <c r="A123" i="10"/>
  <c r="Z121" i="10"/>
  <c r="C121" i="10"/>
  <c r="A121" i="10"/>
  <c r="Z120" i="10"/>
  <c r="C120" i="10"/>
  <c r="A120" i="10"/>
  <c r="Z119" i="10"/>
  <c r="C119" i="10"/>
  <c r="A119" i="10"/>
  <c r="Z118" i="10"/>
  <c r="C118" i="10"/>
  <c r="A118" i="10"/>
  <c r="Z117" i="10"/>
  <c r="C117" i="10"/>
  <c r="A117" i="10"/>
  <c r="Z116" i="10"/>
  <c r="C116" i="10"/>
  <c r="A116" i="10"/>
  <c r="Z115" i="10"/>
  <c r="C115" i="10"/>
  <c r="A115" i="10"/>
  <c r="Z114" i="10"/>
  <c r="C114" i="10"/>
  <c r="A114" i="10"/>
  <c r="Z113" i="10"/>
  <c r="C113" i="10"/>
  <c r="A113" i="10"/>
  <c r="Z112" i="10"/>
  <c r="C112" i="10"/>
  <c r="A112" i="10"/>
  <c r="Z111" i="10"/>
  <c r="C111" i="10"/>
  <c r="A111" i="10"/>
  <c r="Z110" i="10"/>
  <c r="C110" i="10"/>
  <c r="A110" i="10"/>
  <c r="Z109" i="10"/>
  <c r="C109" i="10"/>
  <c r="A109" i="10"/>
  <c r="Z108" i="10"/>
  <c r="C108" i="10"/>
  <c r="A108" i="10"/>
  <c r="Z107" i="10"/>
  <c r="C107" i="10"/>
  <c r="A107" i="10"/>
  <c r="Z106" i="10"/>
  <c r="C106" i="10"/>
  <c r="A106" i="10"/>
  <c r="Z105" i="10"/>
  <c r="C105" i="10"/>
  <c r="A105" i="10"/>
  <c r="Z104" i="10"/>
  <c r="C104" i="10"/>
  <c r="A104" i="10"/>
  <c r="Z103" i="10"/>
  <c r="C103" i="10"/>
  <c r="A103" i="10"/>
  <c r="Z102" i="10"/>
  <c r="C102" i="10"/>
  <c r="A102" i="10"/>
  <c r="Z101" i="10"/>
  <c r="C101" i="10"/>
  <c r="A101" i="10"/>
  <c r="Z100" i="10"/>
  <c r="C100" i="10"/>
  <c r="A100" i="10"/>
  <c r="Z99" i="10"/>
  <c r="C99" i="10"/>
  <c r="A99" i="10"/>
  <c r="Z98" i="10"/>
  <c r="C98" i="10"/>
  <c r="A98" i="10"/>
  <c r="Z97" i="10"/>
  <c r="C97" i="10"/>
  <c r="A97" i="10"/>
  <c r="Z96" i="10"/>
  <c r="C96" i="10"/>
  <c r="A96" i="10"/>
  <c r="A93" i="10"/>
  <c r="C93" i="10"/>
  <c r="Z93" i="10"/>
  <c r="BA93" i="10"/>
  <c r="A94" i="10"/>
  <c r="C94" i="10"/>
  <c r="Z94" i="10"/>
  <c r="BA94" i="10"/>
  <c r="A95" i="10"/>
  <c r="C95" i="10"/>
  <c r="Z95" i="10"/>
  <c r="BA95" i="10"/>
  <c r="Z92" i="10"/>
  <c r="C92" i="10"/>
  <c r="A92" i="10"/>
  <c r="Z91" i="10"/>
  <c r="C91" i="10"/>
  <c r="A91" i="10"/>
  <c r="Z90" i="10"/>
  <c r="C90" i="10"/>
  <c r="A90" i="10"/>
  <c r="Z89" i="10"/>
  <c r="C89" i="10"/>
  <c r="A89" i="10"/>
  <c r="Z88" i="10"/>
  <c r="C88" i="10"/>
  <c r="A88" i="10"/>
  <c r="Z87" i="10"/>
  <c r="C87" i="10"/>
  <c r="A87" i="10"/>
  <c r="Z86" i="10"/>
  <c r="C86" i="10"/>
  <c r="A86" i="10"/>
  <c r="Z85" i="10"/>
  <c r="C85" i="10"/>
  <c r="A85" i="10"/>
  <c r="Z84" i="10"/>
  <c r="C84" i="10"/>
  <c r="A84" i="10"/>
  <c r="Z83" i="10"/>
  <c r="C83" i="10"/>
  <c r="A83" i="10"/>
  <c r="Z82" i="10"/>
  <c r="C82" i="10"/>
  <c r="A82" i="10"/>
  <c r="Z81" i="10"/>
  <c r="C81" i="10"/>
  <c r="A81" i="10"/>
  <c r="Z80" i="10"/>
  <c r="C80" i="10"/>
  <c r="A80" i="10"/>
  <c r="Z79" i="10"/>
  <c r="C79" i="10"/>
  <c r="A79" i="10"/>
  <c r="Z78" i="10"/>
  <c r="C78" i="10"/>
  <c r="A78" i="10"/>
  <c r="Z77" i="10"/>
  <c r="C77" i="10"/>
  <c r="A77" i="10"/>
  <c r="Z76" i="10"/>
  <c r="C76" i="10"/>
  <c r="A76" i="10"/>
  <c r="Z75" i="10"/>
  <c r="C75" i="10"/>
  <c r="A75" i="10"/>
  <c r="Z74" i="10"/>
  <c r="C74" i="10"/>
  <c r="A74" i="10"/>
  <c r="Z73" i="10"/>
  <c r="C73" i="10"/>
  <c r="A73" i="10"/>
  <c r="Z72" i="10"/>
  <c r="C72" i="10"/>
  <c r="A72" i="10"/>
  <c r="Z71" i="10"/>
  <c r="C71" i="10"/>
  <c r="A71" i="10"/>
  <c r="Z70" i="10"/>
  <c r="C70" i="10"/>
  <c r="A70" i="10"/>
  <c r="Z69" i="10"/>
  <c r="C69" i="10"/>
  <c r="A69" i="10"/>
  <c r="Z68" i="10"/>
  <c r="C68" i="10"/>
  <c r="A68" i="10"/>
  <c r="Z67" i="10"/>
  <c r="C67" i="10"/>
  <c r="A67" i="10"/>
  <c r="Z66" i="10"/>
  <c r="C66" i="10"/>
  <c r="A66" i="10"/>
  <c r="Z65" i="10"/>
  <c r="C65" i="10"/>
  <c r="A65" i="10"/>
  <c r="Z61" i="10"/>
  <c r="C61" i="10"/>
  <c r="A61" i="10"/>
  <c r="Z57" i="10"/>
  <c r="C57" i="10"/>
  <c r="A57" i="10"/>
  <c r="Z64" i="10"/>
  <c r="C64" i="10"/>
  <c r="A64" i="10"/>
  <c r="Z63" i="10"/>
  <c r="C63" i="10"/>
  <c r="A63" i="10"/>
  <c r="Z62" i="10"/>
  <c r="C62" i="10"/>
  <c r="A62" i="10"/>
  <c r="Z60" i="10"/>
  <c r="C60" i="10"/>
  <c r="A60" i="10"/>
  <c r="Z59" i="10"/>
  <c r="C59" i="10"/>
  <c r="A59" i="10"/>
  <c r="Z58" i="10"/>
  <c r="C58" i="10"/>
  <c r="A58" i="10"/>
  <c r="Z56" i="10"/>
  <c r="C56" i="10"/>
  <c r="A56" i="10"/>
  <c r="Z55" i="10"/>
  <c r="C55" i="10"/>
  <c r="A55" i="10"/>
  <c r="Z54" i="10"/>
  <c r="C54" i="10"/>
  <c r="A54" i="10"/>
  <c r="Z53" i="10"/>
  <c r="C53" i="10"/>
  <c r="A53" i="10"/>
  <c r="Z52" i="10"/>
  <c r="C52" i="10"/>
  <c r="A52" i="10"/>
  <c r="Z51" i="10"/>
  <c r="C51" i="10"/>
  <c r="A51" i="10"/>
  <c r="Z50" i="10"/>
  <c r="C50" i="10"/>
  <c r="A50" i="10"/>
  <c r="Z49" i="10"/>
  <c r="C49" i="10"/>
  <c r="A49" i="10"/>
  <c r="Z48" i="10"/>
  <c r="C48" i="10"/>
  <c r="A48" i="10"/>
  <c r="Z47" i="10"/>
  <c r="C47" i="10"/>
  <c r="A47" i="10"/>
  <c r="Z46" i="10"/>
  <c r="C46" i="10"/>
  <c r="A46" i="10"/>
  <c r="Z45" i="10"/>
  <c r="C45" i="10"/>
  <c r="A45" i="10"/>
  <c r="Z44" i="10"/>
  <c r="C44" i="10"/>
  <c r="A44" i="10"/>
  <c r="Z43" i="10"/>
  <c r="C43" i="10"/>
  <c r="A43" i="10"/>
  <c r="Z42" i="10"/>
  <c r="C42" i="10"/>
  <c r="A42" i="10"/>
  <c r="Z41" i="10"/>
  <c r="C41" i="10"/>
  <c r="A41" i="10"/>
  <c r="Z40" i="10"/>
  <c r="C40" i="10"/>
  <c r="A40" i="10"/>
  <c r="Z38" i="10"/>
  <c r="C38" i="10"/>
  <c r="A38" i="10"/>
  <c r="Z39" i="10"/>
  <c r="C39" i="10"/>
  <c r="A39" i="10"/>
  <c r="Z37" i="10"/>
  <c r="C37" i="10"/>
  <c r="A37" i="10"/>
  <c r="Z36" i="10"/>
  <c r="C36" i="10"/>
  <c r="A36" i="10"/>
  <c r="Z35" i="10"/>
  <c r="C35" i="10"/>
  <c r="A35" i="10"/>
  <c r="Z34" i="10"/>
  <c r="C34" i="10"/>
  <c r="A34" i="10"/>
  <c r="Z33" i="10"/>
  <c r="C33" i="10"/>
  <c r="A33" i="10"/>
  <c r="Z32" i="10"/>
  <c r="C32" i="10"/>
  <c r="A32" i="10"/>
  <c r="Z31" i="10"/>
  <c r="C31" i="10"/>
  <c r="A31" i="10"/>
  <c r="Z30" i="10"/>
  <c r="C30" i="10"/>
  <c r="A30" i="10"/>
  <c r="Z29" i="10"/>
  <c r="C29" i="10"/>
  <c r="A29" i="10"/>
  <c r="Z28" i="10"/>
  <c r="C28" i="10"/>
  <c r="A28" i="10"/>
  <c r="Z27" i="10"/>
  <c r="C27" i="10"/>
  <c r="A27" i="10"/>
  <c r="Z26" i="10"/>
  <c r="C26" i="10"/>
  <c r="A26" i="10"/>
  <c r="BA909" i="10"/>
  <c r="Z909" i="10"/>
  <c r="C909" i="10"/>
  <c r="A909" i="10"/>
  <c r="BA908" i="10"/>
  <c r="Z908" i="10"/>
  <c r="C908" i="10"/>
  <c r="A908" i="10"/>
  <c r="BA907" i="10"/>
  <c r="Z907" i="10"/>
  <c r="C907" i="10"/>
  <c r="A907" i="10"/>
  <c r="BA906" i="10"/>
  <c r="Z906" i="10"/>
  <c r="C906" i="10"/>
  <c r="A906" i="10"/>
  <c r="BA905" i="10"/>
  <c r="Z905" i="10"/>
  <c r="C905" i="10"/>
  <c r="A905" i="10"/>
  <c r="BA904" i="10"/>
  <c r="Z904" i="10"/>
  <c r="C904" i="10"/>
  <c r="A904" i="10"/>
  <c r="BA903" i="10"/>
  <c r="Z903" i="10"/>
  <c r="C903" i="10"/>
  <c r="A903" i="10"/>
  <c r="BA902" i="10"/>
  <c r="Z902" i="10"/>
  <c r="C902" i="10"/>
  <c r="A902" i="10"/>
  <c r="BA901" i="10"/>
  <c r="Z901" i="10"/>
  <c r="C901" i="10"/>
  <c r="A901" i="10"/>
  <c r="BA900" i="10"/>
  <c r="Z900" i="10"/>
  <c r="C900" i="10"/>
  <c r="A900" i="10"/>
  <c r="BA899" i="10"/>
  <c r="Z899" i="10"/>
  <c r="C899" i="10"/>
  <c r="A899" i="10"/>
  <c r="BA898" i="10"/>
  <c r="Z898" i="10"/>
  <c r="C898" i="10"/>
  <c r="A898" i="10"/>
  <c r="BA897" i="10"/>
  <c r="Z897" i="10"/>
  <c r="C897" i="10"/>
  <c r="A897" i="10"/>
  <c r="BA896" i="10"/>
  <c r="Z896" i="10"/>
  <c r="C896" i="10"/>
  <c r="A896" i="10"/>
  <c r="BA895" i="10"/>
  <c r="Z895" i="10"/>
  <c r="C895" i="10"/>
  <c r="A895" i="10"/>
  <c r="BA894" i="10"/>
  <c r="Z894" i="10"/>
  <c r="C894" i="10"/>
  <c r="A894" i="10"/>
  <c r="BA893" i="10"/>
  <c r="Z893" i="10"/>
  <c r="C893" i="10"/>
  <c r="A893" i="10"/>
  <c r="BA892" i="10"/>
  <c r="Z892" i="10"/>
  <c r="C892" i="10"/>
  <c r="A892" i="10"/>
  <c r="BA891" i="10"/>
  <c r="Z891" i="10"/>
  <c r="C891" i="10"/>
  <c r="A891" i="10"/>
  <c r="BA890" i="10"/>
  <c r="Z890" i="10"/>
  <c r="C890" i="10"/>
  <c r="A890" i="10"/>
  <c r="BA889" i="10"/>
  <c r="Z889" i="10"/>
  <c r="C889" i="10"/>
  <c r="A889" i="10"/>
  <c r="BA888" i="10"/>
  <c r="Z888" i="10"/>
  <c r="C888" i="10"/>
  <c r="A888" i="10"/>
  <c r="BA887" i="10"/>
  <c r="Z887" i="10"/>
  <c r="C887" i="10"/>
  <c r="A887" i="10"/>
  <c r="BA886" i="10"/>
  <c r="Z886" i="10"/>
  <c r="C886" i="10"/>
  <c r="A886" i="10"/>
  <c r="BA885" i="10"/>
  <c r="Z885" i="10"/>
  <c r="C885" i="10"/>
  <c r="A885" i="10"/>
  <c r="BA884" i="10"/>
  <c r="Z884" i="10"/>
  <c r="C884" i="10"/>
  <c r="A884" i="10"/>
  <c r="BA883" i="10"/>
  <c r="Z883" i="10"/>
  <c r="C883" i="10"/>
  <c r="A883" i="10"/>
  <c r="BA882" i="10"/>
  <c r="Z882" i="10"/>
  <c r="C882" i="10"/>
  <c r="A882" i="10"/>
  <c r="BA881" i="10"/>
  <c r="Z881" i="10"/>
  <c r="C881" i="10"/>
  <c r="A881" i="10"/>
  <c r="BA880" i="10"/>
  <c r="Z880" i="10"/>
  <c r="C880" i="10"/>
  <c r="A880" i="10"/>
  <c r="BA879" i="10"/>
  <c r="Z879" i="10"/>
  <c r="C879" i="10"/>
  <c r="A879" i="10"/>
  <c r="BA878" i="10"/>
  <c r="Z878" i="10"/>
  <c r="C878" i="10"/>
  <c r="A878" i="10"/>
  <c r="BA877" i="10"/>
  <c r="Z877" i="10"/>
  <c r="C877" i="10"/>
  <c r="A877" i="10"/>
  <c r="BA876" i="10"/>
  <c r="Z876" i="10"/>
  <c r="C876" i="10"/>
  <c r="A876" i="10"/>
  <c r="BA875" i="10"/>
  <c r="Z875" i="10"/>
  <c r="C875" i="10"/>
  <c r="A875" i="10"/>
  <c r="BA874" i="10"/>
  <c r="Z874" i="10"/>
  <c r="C874" i="10"/>
  <c r="A874" i="10"/>
  <c r="BA873" i="10"/>
  <c r="Z873" i="10"/>
  <c r="C873" i="10"/>
  <c r="A873" i="10"/>
  <c r="BA872" i="10"/>
  <c r="Z872" i="10"/>
  <c r="C872" i="10"/>
  <c r="A872" i="10"/>
  <c r="BA871" i="10"/>
  <c r="Z871" i="10"/>
  <c r="C871" i="10"/>
  <c r="A871" i="10"/>
  <c r="BA870" i="10"/>
  <c r="Z870" i="10"/>
  <c r="C870" i="10"/>
  <c r="A870" i="10"/>
  <c r="BA869" i="10"/>
  <c r="Z869" i="10"/>
  <c r="C869" i="10"/>
  <c r="A869" i="10"/>
  <c r="BA868" i="10"/>
  <c r="Z868" i="10"/>
  <c r="C868" i="10"/>
  <c r="A868" i="10"/>
  <c r="BA867" i="10"/>
  <c r="Z867" i="10"/>
  <c r="C867" i="10"/>
  <c r="A867" i="10"/>
  <c r="BA866" i="10"/>
  <c r="Z866" i="10"/>
  <c r="C866" i="10"/>
  <c r="A866" i="10"/>
  <c r="BA865" i="10"/>
  <c r="Z865" i="10"/>
  <c r="C865" i="10"/>
  <c r="A865" i="10"/>
  <c r="BA864" i="10"/>
  <c r="Z864" i="10"/>
  <c r="C864" i="10"/>
  <c r="A864" i="10"/>
  <c r="BA863" i="10"/>
  <c r="Z863" i="10"/>
  <c r="C863" i="10"/>
  <c r="A863" i="10"/>
  <c r="BA862" i="10"/>
  <c r="Z862" i="10"/>
  <c r="C862" i="10"/>
  <c r="A862" i="10"/>
  <c r="BA861" i="10"/>
  <c r="Z861" i="10"/>
  <c r="C861" i="10"/>
  <c r="A861" i="10"/>
  <c r="BA860" i="10"/>
  <c r="Z860" i="10"/>
  <c r="C860" i="10"/>
  <c r="A860" i="10"/>
  <c r="BA859" i="10"/>
  <c r="Z859" i="10"/>
  <c r="C859" i="10"/>
  <c r="A859" i="10"/>
  <c r="BA858" i="10"/>
  <c r="Z858" i="10"/>
  <c r="C858" i="10"/>
  <c r="A858" i="10"/>
  <c r="BA857" i="10"/>
  <c r="Z857" i="10"/>
  <c r="C857" i="10"/>
  <c r="A857" i="10"/>
  <c r="BA856" i="10"/>
  <c r="Z856" i="10"/>
  <c r="C856" i="10"/>
  <c r="A856" i="10"/>
  <c r="BA855" i="10"/>
  <c r="Z855" i="10"/>
  <c r="C855" i="10"/>
  <c r="A855" i="10"/>
  <c r="BA854" i="10"/>
  <c r="Z854" i="10"/>
  <c r="C854" i="10"/>
  <c r="A854" i="10"/>
  <c r="BA853" i="10"/>
  <c r="Z853" i="10"/>
  <c r="C853" i="10"/>
  <c r="A853" i="10"/>
  <c r="BA852" i="10"/>
  <c r="Z852" i="10"/>
  <c r="C852" i="10"/>
  <c r="A852" i="10"/>
  <c r="BA851" i="10"/>
  <c r="Z851" i="10"/>
  <c r="C851" i="10"/>
  <c r="A851" i="10"/>
  <c r="BA850" i="10"/>
  <c r="Z850" i="10"/>
  <c r="C850" i="10"/>
  <c r="A850" i="10"/>
  <c r="BA849" i="10"/>
  <c r="Z849" i="10"/>
  <c r="C849" i="10"/>
  <c r="A849" i="10"/>
  <c r="BA848" i="10"/>
  <c r="Z848" i="10"/>
  <c r="C848" i="10"/>
  <c r="A848" i="10"/>
  <c r="BA847" i="10"/>
  <c r="Z847" i="10"/>
  <c r="C847" i="10"/>
  <c r="A847" i="10"/>
  <c r="BA846" i="10"/>
  <c r="Z846" i="10"/>
  <c r="C846" i="10"/>
  <c r="A846" i="10"/>
  <c r="BA845" i="10"/>
  <c r="Z845" i="10"/>
  <c r="C845" i="10"/>
  <c r="A845" i="10"/>
  <c r="BA844" i="10"/>
  <c r="Z844" i="10"/>
  <c r="C844" i="10"/>
  <c r="A844" i="10"/>
  <c r="BA843" i="10"/>
  <c r="Z843" i="10"/>
  <c r="C843" i="10"/>
  <c r="A843" i="10"/>
  <c r="BA842" i="10"/>
  <c r="Z842" i="10"/>
  <c r="C842" i="10"/>
  <c r="A842" i="10"/>
  <c r="BA841" i="10"/>
  <c r="Z841" i="10"/>
  <c r="C841" i="10"/>
  <c r="A841" i="10"/>
  <c r="BA840" i="10"/>
  <c r="Z840" i="10"/>
  <c r="C840" i="10"/>
  <c r="A840" i="10"/>
  <c r="BA839" i="10"/>
  <c r="Z839" i="10"/>
  <c r="C839" i="10"/>
  <c r="A839" i="10"/>
  <c r="BA838" i="10"/>
  <c r="Z838" i="10"/>
  <c r="C838" i="10"/>
  <c r="A838" i="10"/>
  <c r="BA837" i="10"/>
  <c r="Z837" i="10"/>
  <c r="C837" i="10"/>
  <c r="A837" i="10"/>
  <c r="BA836" i="10"/>
  <c r="Z836" i="10"/>
  <c r="C836" i="10"/>
  <c r="A836" i="10"/>
  <c r="BA835" i="10"/>
  <c r="Z835" i="10"/>
  <c r="C835" i="10"/>
  <c r="A835" i="10"/>
  <c r="BA834" i="10"/>
  <c r="Z834" i="10"/>
  <c r="C834" i="10"/>
  <c r="A834" i="10"/>
  <c r="BA833" i="10"/>
  <c r="Z833" i="10"/>
  <c r="C833" i="10"/>
  <c r="A833" i="10"/>
  <c r="BA832" i="10"/>
  <c r="Z832" i="10"/>
  <c r="C832" i="10"/>
  <c r="A832" i="10"/>
  <c r="BA831" i="10"/>
  <c r="Z831" i="10"/>
  <c r="C831" i="10"/>
  <c r="A831" i="10"/>
  <c r="BA830" i="10"/>
  <c r="Z830" i="10"/>
  <c r="C830" i="10"/>
  <c r="A830" i="10"/>
  <c r="BA829" i="10"/>
  <c r="Z829" i="10"/>
  <c r="C829" i="10"/>
  <c r="A829" i="10"/>
  <c r="BA828" i="10"/>
  <c r="Z828" i="10"/>
  <c r="C828" i="10"/>
  <c r="A828" i="10"/>
  <c r="BA827" i="10"/>
  <c r="Z827" i="10"/>
  <c r="C827" i="10"/>
  <c r="A827" i="10"/>
  <c r="BA826" i="10"/>
  <c r="Z826" i="10"/>
  <c r="C826" i="10"/>
  <c r="A826" i="10"/>
  <c r="BA825" i="10"/>
  <c r="Z825" i="10"/>
  <c r="C825" i="10"/>
  <c r="A825" i="10"/>
  <c r="BA824" i="10"/>
  <c r="Z824" i="10"/>
  <c r="C824" i="10"/>
  <c r="A824" i="10"/>
  <c r="BA823" i="10"/>
  <c r="Z823" i="10"/>
  <c r="C823" i="10"/>
  <c r="A823" i="10"/>
  <c r="BA822" i="10"/>
  <c r="Z822" i="10"/>
  <c r="C822" i="10"/>
  <c r="A822" i="10"/>
  <c r="BA821" i="10"/>
  <c r="Z821" i="10"/>
  <c r="C821" i="10"/>
  <c r="A821" i="10"/>
  <c r="BA820" i="10"/>
  <c r="Z820" i="10"/>
  <c r="C820" i="10"/>
  <c r="A820" i="10"/>
  <c r="BA819" i="10"/>
  <c r="Z819" i="10"/>
  <c r="C819" i="10"/>
  <c r="A819" i="10"/>
  <c r="BA818" i="10"/>
  <c r="Z818" i="10"/>
  <c r="C818" i="10"/>
  <c r="A818" i="10"/>
  <c r="BA817" i="10"/>
  <c r="Z817" i="10"/>
  <c r="C817" i="10"/>
  <c r="A817" i="10"/>
  <c r="BA816" i="10"/>
  <c r="Z816" i="10"/>
  <c r="C816" i="10"/>
  <c r="A816" i="10"/>
  <c r="BA815" i="10"/>
  <c r="Z815" i="10"/>
  <c r="C815" i="10"/>
  <c r="A815" i="10"/>
  <c r="BA814" i="10"/>
  <c r="Z814" i="10"/>
  <c r="C814" i="10"/>
  <c r="A814" i="10"/>
  <c r="BA813" i="10"/>
  <c r="Z813" i="10"/>
  <c r="C813" i="10"/>
  <c r="A813" i="10"/>
  <c r="BA812" i="10"/>
  <c r="Z812" i="10"/>
  <c r="C812" i="10"/>
  <c r="A812" i="10"/>
  <c r="BA811" i="10"/>
  <c r="Z811" i="10"/>
  <c r="C811" i="10"/>
  <c r="A811" i="10"/>
  <c r="BA810" i="10"/>
  <c r="Z810" i="10"/>
  <c r="C810" i="10"/>
  <c r="A810" i="10"/>
  <c r="BA809" i="10"/>
  <c r="Z809" i="10"/>
  <c r="C809" i="10"/>
  <c r="A809" i="10"/>
  <c r="BA808" i="10"/>
  <c r="Z808" i="10"/>
  <c r="C808" i="10"/>
  <c r="A808" i="10"/>
  <c r="BA807" i="10"/>
  <c r="Z807" i="10"/>
  <c r="C807" i="10"/>
  <c r="A807" i="10"/>
  <c r="BA806" i="10"/>
  <c r="Z806" i="10"/>
  <c r="C806" i="10"/>
  <c r="A806" i="10"/>
  <c r="BA805" i="10"/>
  <c r="Z805" i="10"/>
  <c r="C805" i="10"/>
  <c r="A805" i="10"/>
  <c r="BA804" i="10"/>
  <c r="Z804" i="10"/>
  <c r="C804" i="10"/>
  <c r="A804" i="10"/>
  <c r="BA803" i="10"/>
  <c r="Z803" i="10"/>
  <c r="C803" i="10"/>
  <c r="A803" i="10"/>
  <c r="BA802" i="10"/>
  <c r="Z802" i="10"/>
  <c r="C802" i="10"/>
  <c r="A802" i="10"/>
  <c r="BA801" i="10"/>
  <c r="Z801" i="10"/>
  <c r="C801" i="10"/>
  <c r="A801" i="10"/>
  <c r="BA800" i="10"/>
  <c r="Z800" i="10"/>
  <c r="C800" i="10"/>
  <c r="A800" i="10"/>
  <c r="BA799" i="10"/>
  <c r="Z799" i="10"/>
  <c r="C799" i="10"/>
  <c r="A799" i="10"/>
  <c r="BA798" i="10"/>
  <c r="Z798" i="10"/>
  <c r="C798" i="10"/>
  <c r="A798" i="10"/>
  <c r="BA797" i="10"/>
  <c r="Z797" i="10"/>
  <c r="C797" i="10"/>
  <c r="A797" i="10"/>
  <c r="BA796" i="10"/>
  <c r="Z796" i="10"/>
  <c r="C796" i="10"/>
  <c r="A796" i="10"/>
  <c r="BA795" i="10"/>
  <c r="Z795" i="10"/>
  <c r="C795" i="10"/>
  <c r="A795" i="10"/>
  <c r="BA794" i="10"/>
  <c r="Z794" i="10"/>
  <c r="C794" i="10"/>
  <c r="A794" i="10"/>
  <c r="BA793" i="10"/>
  <c r="Z793" i="10"/>
  <c r="C793" i="10"/>
  <c r="A793" i="10"/>
  <c r="BA792" i="10"/>
  <c r="Z792" i="10"/>
  <c r="C792" i="10"/>
  <c r="A792" i="10"/>
  <c r="BA791" i="10"/>
  <c r="Z791" i="10"/>
  <c r="C791" i="10"/>
  <c r="A791" i="10"/>
  <c r="BA790" i="10"/>
  <c r="Z790" i="10"/>
  <c r="C790" i="10"/>
  <c r="A790" i="10"/>
  <c r="BA789" i="10"/>
  <c r="Z789" i="10"/>
  <c r="C789" i="10"/>
  <c r="A789" i="10"/>
  <c r="BA788" i="10"/>
  <c r="Z788" i="10"/>
  <c r="C788" i="10"/>
  <c r="A788" i="10"/>
  <c r="BA787" i="10"/>
  <c r="Z787" i="10"/>
  <c r="C787" i="10"/>
  <c r="A787" i="10"/>
  <c r="BA786" i="10"/>
  <c r="Z786" i="10"/>
  <c r="C786" i="10"/>
  <c r="A786" i="10"/>
  <c r="BA785" i="10"/>
  <c r="Z785" i="10"/>
  <c r="C785" i="10"/>
  <c r="A785" i="10"/>
  <c r="BA784" i="10"/>
  <c r="Z784" i="10"/>
  <c r="C784" i="10"/>
  <c r="A784" i="10"/>
  <c r="BA783" i="10"/>
  <c r="Z783" i="10"/>
  <c r="C783" i="10"/>
  <c r="A783" i="10"/>
  <c r="BA782" i="10"/>
  <c r="Z782" i="10"/>
  <c r="C782" i="10"/>
  <c r="A782" i="10"/>
  <c r="BA781" i="10"/>
  <c r="Z781" i="10"/>
  <c r="C781" i="10"/>
  <c r="A781" i="10"/>
  <c r="BA780" i="10"/>
  <c r="Z780" i="10"/>
  <c r="C780" i="10"/>
  <c r="A780" i="10"/>
  <c r="BA779" i="10"/>
  <c r="Z779" i="10"/>
  <c r="C779" i="10"/>
  <c r="A779" i="10"/>
  <c r="BA778" i="10"/>
  <c r="Z778" i="10"/>
  <c r="C778" i="10"/>
  <c r="A778" i="10"/>
  <c r="BA777" i="10"/>
  <c r="Z777" i="10"/>
  <c r="C777" i="10"/>
  <c r="A777" i="10"/>
  <c r="BA776" i="10"/>
  <c r="Z776" i="10"/>
  <c r="C776" i="10"/>
  <c r="A776" i="10"/>
  <c r="BA775" i="10"/>
  <c r="Z775" i="10"/>
  <c r="C775" i="10"/>
  <c r="A775" i="10"/>
  <c r="BA774" i="10"/>
  <c r="Z774" i="10"/>
  <c r="C774" i="10"/>
  <c r="A774" i="10"/>
  <c r="BA773" i="10"/>
  <c r="Z773" i="10"/>
  <c r="C773" i="10"/>
  <c r="A773" i="10"/>
  <c r="BA772" i="10"/>
  <c r="Z772" i="10"/>
  <c r="C772" i="10"/>
  <c r="A772" i="10"/>
  <c r="BA771" i="10"/>
  <c r="Z771" i="10"/>
  <c r="C771" i="10"/>
  <c r="A771" i="10"/>
  <c r="BA770" i="10"/>
  <c r="Z770" i="10"/>
  <c r="C770" i="10"/>
  <c r="A770" i="10"/>
  <c r="BA769" i="10"/>
  <c r="Z769" i="10"/>
  <c r="C769" i="10"/>
  <c r="A769" i="10"/>
  <c r="BA768" i="10"/>
  <c r="Z768" i="10"/>
  <c r="C768" i="10"/>
  <c r="A768" i="10"/>
  <c r="BA767" i="10"/>
  <c r="Z767" i="10"/>
  <c r="C767" i="10"/>
  <c r="A767" i="10"/>
  <c r="BA766" i="10"/>
  <c r="Z766" i="10"/>
  <c r="C766" i="10"/>
  <c r="A766" i="10"/>
  <c r="BA765" i="10"/>
  <c r="Z765" i="10"/>
  <c r="C765" i="10"/>
  <c r="A765" i="10"/>
  <c r="BA764" i="10"/>
  <c r="Z764" i="10"/>
  <c r="C764" i="10"/>
  <c r="A764" i="10"/>
  <c r="BA763" i="10"/>
  <c r="Z763" i="10"/>
  <c r="C763" i="10"/>
  <c r="A763" i="10"/>
  <c r="BA762" i="10"/>
  <c r="Z762" i="10"/>
  <c r="C762" i="10"/>
  <c r="A762" i="10"/>
  <c r="BA761" i="10"/>
  <c r="Z761" i="10"/>
  <c r="C761" i="10"/>
  <c r="A761" i="10"/>
  <c r="BA760" i="10"/>
  <c r="Z760" i="10"/>
  <c r="C760" i="10"/>
  <c r="A760" i="10"/>
  <c r="BA759" i="10"/>
  <c r="Z759" i="10"/>
  <c r="C759" i="10"/>
  <c r="A759" i="10"/>
  <c r="BA758" i="10"/>
  <c r="Z758" i="10"/>
  <c r="C758" i="10"/>
  <c r="A758" i="10"/>
  <c r="BA757" i="10"/>
  <c r="Z757" i="10"/>
  <c r="C757" i="10"/>
  <c r="A757" i="10"/>
  <c r="BA756" i="10"/>
  <c r="Z756" i="10"/>
  <c r="C756" i="10"/>
  <c r="A756" i="10"/>
  <c r="BA755" i="10"/>
  <c r="Z755" i="10"/>
  <c r="C755" i="10"/>
  <c r="A755" i="10"/>
  <c r="BA754" i="10"/>
  <c r="Z754" i="10"/>
  <c r="C754" i="10"/>
  <c r="A754" i="10"/>
  <c r="BA753" i="10"/>
  <c r="Z753" i="10"/>
  <c r="C753" i="10"/>
  <c r="A753" i="10"/>
  <c r="BA752" i="10"/>
  <c r="Z752" i="10"/>
  <c r="C752" i="10"/>
  <c r="A752" i="10"/>
  <c r="BA751" i="10"/>
  <c r="Z751" i="10"/>
  <c r="C751" i="10"/>
  <c r="A751" i="10"/>
  <c r="BA750" i="10"/>
  <c r="Z750" i="10"/>
  <c r="C750" i="10"/>
  <c r="A750" i="10"/>
  <c r="BA749" i="10"/>
  <c r="Z749" i="10"/>
  <c r="C749" i="10"/>
  <c r="A749" i="10"/>
  <c r="BA748" i="10"/>
  <c r="Z748" i="10"/>
  <c r="C748" i="10"/>
  <c r="A748" i="10"/>
  <c r="BA747" i="10"/>
  <c r="Z747" i="10"/>
  <c r="C747" i="10"/>
  <c r="A747" i="10"/>
  <c r="BA746" i="10"/>
  <c r="Z746" i="10"/>
  <c r="C746" i="10"/>
  <c r="A746" i="10"/>
  <c r="BA745" i="10"/>
  <c r="Z745" i="10"/>
  <c r="C745" i="10"/>
  <c r="A745" i="10"/>
  <c r="BA744" i="10"/>
  <c r="Z744" i="10"/>
  <c r="C744" i="10"/>
  <c r="A744" i="10"/>
  <c r="BA743" i="10"/>
  <c r="Z743" i="10"/>
  <c r="C743" i="10"/>
  <c r="A743" i="10"/>
  <c r="BA742" i="10"/>
  <c r="Z742" i="10"/>
  <c r="C742" i="10"/>
  <c r="A742" i="10"/>
  <c r="BA741" i="10"/>
  <c r="Z741" i="10"/>
  <c r="C741" i="10"/>
  <c r="A741" i="10"/>
  <c r="BA740" i="10"/>
  <c r="Z740" i="10"/>
  <c r="C740" i="10"/>
  <c r="A740" i="10"/>
  <c r="BA739" i="10"/>
  <c r="Z739" i="10"/>
  <c r="C739" i="10"/>
  <c r="A739" i="10"/>
  <c r="BA738" i="10"/>
  <c r="Z738" i="10"/>
  <c r="C738" i="10"/>
  <c r="A738" i="10"/>
  <c r="BA737" i="10"/>
  <c r="Z737" i="10"/>
  <c r="C737" i="10"/>
  <c r="A737" i="10"/>
  <c r="BA736" i="10"/>
  <c r="Z736" i="10"/>
  <c r="C736" i="10"/>
  <c r="A736" i="10"/>
  <c r="BA735" i="10"/>
  <c r="Z735" i="10"/>
  <c r="C735" i="10"/>
  <c r="A735" i="10"/>
  <c r="BA734" i="10"/>
  <c r="Z734" i="10"/>
  <c r="C734" i="10"/>
  <c r="A734" i="10"/>
  <c r="BA733" i="10"/>
  <c r="Z733" i="10"/>
  <c r="C733" i="10"/>
  <c r="A733" i="10"/>
  <c r="BA732" i="10"/>
  <c r="Z732" i="10"/>
  <c r="C732" i="10"/>
  <c r="A732" i="10"/>
  <c r="BA731" i="10"/>
  <c r="Z731" i="10"/>
  <c r="C731" i="10"/>
  <c r="A731" i="10"/>
  <c r="BA730" i="10"/>
  <c r="Z730" i="10"/>
  <c r="C730" i="10"/>
  <c r="A730" i="10"/>
  <c r="BA729" i="10"/>
  <c r="Z729" i="10"/>
  <c r="C729" i="10"/>
  <c r="A729" i="10"/>
  <c r="BA728" i="10"/>
  <c r="Z728" i="10"/>
  <c r="C728" i="10"/>
  <c r="A728" i="10"/>
  <c r="BA727" i="10"/>
  <c r="Z727" i="10"/>
  <c r="C727" i="10"/>
  <c r="A727" i="10"/>
  <c r="BA726" i="10"/>
  <c r="Z726" i="10"/>
  <c r="C726" i="10"/>
  <c r="A726" i="10"/>
  <c r="BA725" i="10"/>
  <c r="Z725" i="10"/>
  <c r="C725" i="10"/>
  <c r="A725" i="10"/>
  <c r="BA724" i="10"/>
  <c r="Z724" i="10"/>
  <c r="C724" i="10"/>
  <c r="A724" i="10"/>
  <c r="BA723" i="10"/>
  <c r="Z723" i="10"/>
  <c r="C723" i="10"/>
  <c r="A723" i="10"/>
  <c r="BA722" i="10"/>
  <c r="Z722" i="10"/>
  <c r="C722" i="10"/>
  <c r="A722" i="10"/>
  <c r="BA721" i="10"/>
  <c r="Z721" i="10"/>
  <c r="C721" i="10"/>
  <c r="A721" i="10"/>
  <c r="BA720" i="10"/>
  <c r="Z720" i="10"/>
  <c r="C720" i="10"/>
  <c r="A720" i="10"/>
  <c r="BA719" i="10"/>
  <c r="Z719" i="10"/>
  <c r="C719" i="10"/>
  <c r="A719" i="10"/>
  <c r="BA718" i="10"/>
  <c r="Z718" i="10"/>
  <c r="C718" i="10"/>
  <c r="A718" i="10"/>
  <c r="BA717" i="10"/>
  <c r="Z717" i="10"/>
  <c r="C717" i="10"/>
  <c r="A717" i="10"/>
  <c r="BA716" i="10"/>
  <c r="Z716" i="10"/>
  <c r="C716" i="10"/>
  <c r="A716" i="10"/>
  <c r="BA715" i="10"/>
  <c r="Z715" i="10"/>
  <c r="C715" i="10"/>
  <c r="A715" i="10"/>
  <c r="BA714" i="10"/>
  <c r="Z714" i="10"/>
  <c r="C714" i="10"/>
  <c r="A714" i="10"/>
  <c r="BA713" i="10"/>
  <c r="Z713" i="10"/>
  <c r="C713" i="10"/>
  <c r="A713" i="10"/>
  <c r="BA712" i="10"/>
  <c r="Z712" i="10"/>
  <c r="C712" i="10"/>
  <c r="A712" i="10"/>
  <c r="BA711" i="10"/>
  <c r="Z711" i="10"/>
  <c r="C711" i="10"/>
  <c r="A711" i="10"/>
  <c r="BA710" i="10"/>
  <c r="Z710" i="10"/>
  <c r="C710" i="10"/>
  <c r="A710" i="10"/>
  <c r="BA709" i="10"/>
  <c r="Z709" i="10"/>
  <c r="C709" i="10"/>
  <c r="A709" i="10"/>
  <c r="BA708" i="10"/>
  <c r="Z708" i="10"/>
  <c r="C708" i="10"/>
  <c r="A708" i="10"/>
  <c r="BA707" i="10"/>
  <c r="Z707" i="10"/>
  <c r="C707" i="10"/>
  <c r="A707" i="10"/>
  <c r="BA706" i="10"/>
  <c r="Z706" i="10"/>
  <c r="C706" i="10"/>
  <c r="A706" i="10"/>
  <c r="BA705" i="10"/>
  <c r="Z705" i="10"/>
  <c r="C705" i="10"/>
  <c r="A705" i="10"/>
  <c r="BA704" i="10"/>
  <c r="Z704" i="10"/>
  <c r="C704" i="10"/>
  <c r="A704" i="10"/>
  <c r="BA703" i="10"/>
  <c r="Z703" i="10"/>
  <c r="C703" i="10"/>
  <c r="A703" i="10"/>
  <c r="BA702" i="10"/>
  <c r="Z702" i="10"/>
  <c r="C702" i="10"/>
  <c r="A702" i="10"/>
  <c r="BA701" i="10"/>
  <c r="Z701" i="10"/>
  <c r="C701" i="10"/>
  <c r="A701" i="10"/>
  <c r="BA700" i="10"/>
  <c r="Z700" i="10"/>
  <c r="C700" i="10"/>
  <c r="A700" i="10"/>
  <c r="BA699" i="10"/>
  <c r="Z699" i="10"/>
  <c r="C699" i="10"/>
  <c r="A699" i="10"/>
  <c r="BA698" i="10"/>
  <c r="Z698" i="10"/>
  <c r="C698" i="10"/>
  <c r="A698" i="10"/>
  <c r="BA697" i="10"/>
  <c r="Z697" i="10"/>
  <c r="C697" i="10"/>
  <c r="A697" i="10"/>
  <c r="BA696" i="10"/>
  <c r="Z696" i="10"/>
  <c r="C696" i="10"/>
  <c r="A696" i="10"/>
  <c r="BA695" i="10"/>
  <c r="Z695" i="10"/>
  <c r="C695" i="10"/>
  <c r="A695" i="10"/>
  <c r="BA694" i="10"/>
  <c r="Z694" i="10"/>
  <c r="C694" i="10"/>
  <c r="A694" i="10"/>
  <c r="BA693" i="10"/>
  <c r="Z693" i="10"/>
  <c r="C693" i="10"/>
  <c r="A693" i="10"/>
  <c r="BA692" i="10"/>
  <c r="Z692" i="10"/>
  <c r="C692" i="10"/>
  <c r="A692" i="10"/>
  <c r="BA691" i="10"/>
  <c r="Z691" i="10"/>
  <c r="C691" i="10"/>
  <c r="A691" i="10"/>
  <c r="BA690" i="10"/>
  <c r="Z690" i="10"/>
  <c r="C690" i="10"/>
  <c r="A690" i="10"/>
  <c r="BA689" i="10"/>
  <c r="Z689" i="10"/>
  <c r="C689" i="10"/>
  <c r="A689" i="10"/>
  <c r="BA688" i="10"/>
  <c r="Z688" i="10"/>
  <c r="C688" i="10"/>
  <c r="A688" i="10"/>
  <c r="BA687" i="10"/>
  <c r="Z687" i="10"/>
  <c r="C687" i="10"/>
  <c r="A687" i="10"/>
  <c r="BA686" i="10"/>
  <c r="Z686" i="10"/>
  <c r="C686" i="10"/>
  <c r="A686" i="10"/>
  <c r="BA685" i="10"/>
  <c r="Z685" i="10"/>
  <c r="C685" i="10"/>
  <c r="A685" i="10"/>
  <c r="BA684" i="10"/>
  <c r="Z684" i="10"/>
  <c r="C684" i="10"/>
  <c r="A684" i="10"/>
  <c r="BA683" i="10"/>
  <c r="Z683" i="10"/>
  <c r="C683" i="10"/>
  <c r="A683" i="10"/>
  <c r="BA682" i="10"/>
  <c r="Z682" i="10"/>
  <c r="C682" i="10"/>
  <c r="A682" i="10"/>
  <c r="BA681" i="10"/>
  <c r="Z681" i="10"/>
  <c r="C681" i="10"/>
  <c r="A681" i="10"/>
  <c r="BA680" i="10"/>
  <c r="Z680" i="10"/>
  <c r="C680" i="10"/>
  <c r="A680" i="10"/>
  <c r="BA679" i="10"/>
  <c r="Z679" i="10"/>
  <c r="C679" i="10"/>
  <c r="A679" i="10"/>
  <c r="BA678" i="10"/>
  <c r="Z678" i="10"/>
  <c r="C678" i="10"/>
  <c r="A678" i="10"/>
  <c r="BA677" i="10"/>
  <c r="Z677" i="10"/>
  <c r="C677" i="10"/>
  <c r="A677" i="10"/>
  <c r="BA676" i="10"/>
  <c r="Z676" i="10"/>
  <c r="C676" i="10"/>
  <c r="A676" i="10"/>
  <c r="BA675" i="10"/>
  <c r="Z675" i="10"/>
  <c r="C675" i="10"/>
  <c r="A675" i="10"/>
  <c r="BA674" i="10"/>
  <c r="Z674" i="10"/>
  <c r="C674" i="10"/>
  <c r="A674" i="10"/>
  <c r="BA673" i="10"/>
  <c r="Z673" i="10"/>
  <c r="C673" i="10"/>
  <c r="A673" i="10"/>
  <c r="BA672" i="10"/>
  <c r="Z672" i="10"/>
  <c r="C672" i="10"/>
  <c r="A672" i="10"/>
  <c r="BA671" i="10"/>
  <c r="Z671" i="10"/>
  <c r="C671" i="10"/>
  <c r="A671" i="10"/>
  <c r="BA670" i="10"/>
  <c r="Z670" i="10"/>
  <c r="C670" i="10"/>
  <c r="A670" i="10"/>
  <c r="BA669" i="10"/>
  <c r="Z669" i="10"/>
  <c r="C669" i="10"/>
  <c r="A669" i="10"/>
  <c r="BA668" i="10"/>
  <c r="Z668" i="10"/>
  <c r="C668" i="10"/>
  <c r="A668" i="10"/>
  <c r="BA667" i="10"/>
  <c r="Z667" i="10"/>
  <c r="C667" i="10"/>
  <c r="A667" i="10"/>
  <c r="BA666" i="10"/>
  <c r="Z666" i="10"/>
  <c r="C666" i="10"/>
  <c r="A666" i="10"/>
  <c r="BA665" i="10"/>
  <c r="Z665" i="10"/>
  <c r="C665" i="10"/>
  <c r="A665" i="10"/>
  <c r="BA664" i="10"/>
  <c r="Z664" i="10"/>
  <c r="C664" i="10"/>
  <c r="A664" i="10"/>
  <c r="BA663" i="10"/>
  <c r="Z663" i="10"/>
  <c r="C663" i="10"/>
  <c r="A663" i="10"/>
  <c r="BA662" i="10"/>
  <c r="Z662" i="10"/>
  <c r="C662" i="10"/>
  <c r="A662" i="10"/>
  <c r="BA661" i="10"/>
  <c r="Z661" i="10"/>
  <c r="C661" i="10"/>
  <c r="A661" i="10"/>
  <c r="BA660" i="10"/>
  <c r="Z660" i="10"/>
  <c r="C660" i="10"/>
  <c r="A660" i="10"/>
  <c r="BA659" i="10"/>
  <c r="Z659" i="10"/>
  <c r="C659" i="10"/>
  <c r="A659" i="10"/>
  <c r="BA658" i="10"/>
  <c r="Z658" i="10"/>
  <c r="C658" i="10"/>
  <c r="A658" i="10"/>
  <c r="BA657" i="10"/>
  <c r="Z657" i="10"/>
  <c r="C657" i="10"/>
  <c r="A657" i="10"/>
  <c r="BA656" i="10"/>
  <c r="Z656" i="10"/>
  <c r="C656" i="10"/>
  <c r="A656" i="10"/>
  <c r="BA655" i="10"/>
  <c r="Z655" i="10"/>
  <c r="C655" i="10"/>
  <c r="A655" i="10"/>
  <c r="BA654" i="10"/>
  <c r="Z654" i="10"/>
  <c r="C654" i="10"/>
  <c r="A654" i="10"/>
  <c r="BA653" i="10"/>
  <c r="Z653" i="10"/>
  <c r="C653" i="10"/>
  <c r="A653" i="10"/>
  <c r="BA652" i="10"/>
  <c r="Z652" i="10"/>
  <c r="C652" i="10"/>
  <c r="A652" i="10"/>
  <c r="BA651" i="10"/>
  <c r="Z651" i="10"/>
  <c r="C651" i="10"/>
  <c r="A651" i="10"/>
  <c r="BA650" i="10"/>
  <c r="Z650" i="10"/>
  <c r="C650" i="10"/>
  <c r="A650" i="10"/>
  <c r="BA649" i="10"/>
  <c r="Z649" i="10"/>
  <c r="C649" i="10"/>
  <c r="A649" i="10"/>
  <c r="BA648" i="10"/>
  <c r="Z648" i="10"/>
  <c r="C648" i="10"/>
  <c r="A648" i="10"/>
  <c r="BA647" i="10"/>
  <c r="Z647" i="10"/>
  <c r="C647" i="10"/>
  <c r="A647" i="10"/>
  <c r="BA646" i="10"/>
  <c r="Z646" i="10"/>
  <c r="C646" i="10"/>
  <c r="A646" i="10"/>
  <c r="BA645" i="10"/>
  <c r="Z645" i="10"/>
  <c r="C645" i="10"/>
  <c r="A645" i="10"/>
  <c r="BA644" i="10"/>
  <c r="Z644" i="10"/>
  <c r="C644" i="10"/>
  <c r="A644" i="10"/>
  <c r="BA643" i="10"/>
  <c r="Z643" i="10"/>
  <c r="C643" i="10"/>
  <c r="A643" i="10"/>
  <c r="BA642" i="10"/>
  <c r="Z642" i="10"/>
  <c r="C642" i="10"/>
  <c r="A642" i="10"/>
  <c r="BA641" i="10"/>
  <c r="Z641" i="10"/>
  <c r="C641" i="10"/>
  <c r="A641" i="10"/>
  <c r="BA640" i="10"/>
  <c r="Z640" i="10"/>
  <c r="C640" i="10"/>
  <c r="A640" i="10"/>
  <c r="BA639" i="10"/>
  <c r="Z639" i="10"/>
  <c r="C639" i="10"/>
  <c r="A639" i="10"/>
  <c r="BA638" i="10"/>
  <c r="Z638" i="10"/>
  <c r="C638" i="10"/>
  <c r="A638" i="10"/>
  <c r="BA637" i="10"/>
  <c r="Z637" i="10"/>
  <c r="C637" i="10"/>
  <c r="A637" i="10"/>
  <c r="BA636" i="10"/>
  <c r="Z636" i="10"/>
  <c r="C636" i="10"/>
  <c r="A636" i="10"/>
  <c r="BA635" i="10"/>
  <c r="Z635" i="10"/>
  <c r="C635" i="10"/>
  <c r="A635" i="10"/>
  <c r="BA634" i="10"/>
  <c r="Z634" i="10"/>
  <c r="C634" i="10"/>
  <c r="A634" i="10"/>
  <c r="BA633" i="10"/>
  <c r="Z633" i="10"/>
  <c r="C633" i="10"/>
  <c r="A633" i="10"/>
  <c r="BA632" i="10"/>
  <c r="Z632" i="10"/>
  <c r="C632" i="10"/>
  <c r="A632" i="10"/>
  <c r="BA631" i="10"/>
  <c r="Z631" i="10"/>
  <c r="C631" i="10"/>
  <c r="A631" i="10"/>
  <c r="BA630" i="10"/>
  <c r="Z630" i="10"/>
  <c r="C630" i="10"/>
  <c r="A630" i="10"/>
  <c r="BA629" i="10"/>
  <c r="Z629" i="10"/>
  <c r="C629" i="10"/>
  <c r="A629" i="10"/>
  <c r="BA628" i="10"/>
  <c r="Z628" i="10"/>
  <c r="C628" i="10"/>
  <c r="A628" i="10"/>
  <c r="BA627" i="10"/>
  <c r="Z627" i="10"/>
  <c r="C627" i="10"/>
  <c r="A627" i="10"/>
  <c r="BA626" i="10"/>
  <c r="Z626" i="10"/>
  <c r="C626" i="10"/>
  <c r="A626" i="10"/>
  <c r="BA625" i="10"/>
  <c r="Z625" i="10"/>
  <c r="C625" i="10"/>
  <c r="A625" i="10"/>
  <c r="BA624" i="10"/>
  <c r="Z624" i="10"/>
  <c r="C624" i="10"/>
  <c r="A624" i="10"/>
  <c r="BA623" i="10"/>
  <c r="Z623" i="10"/>
  <c r="C623" i="10"/>
  <c r="A623" i="10"/>
  <c r="BA622" i="10"/>
  <c r="Z622" i="10"/>
  <c r="C622" i="10"/>
  <c r="A622" i="10"/>
  <c r="BA621" i="10"/>
  <c r="Z621" i="10"/>
  <c r="C621" i="10"/>
  <c r="A621" i="10"/>
  <c r="BA620" i="10"/>
  <c r="Z620" i="10"/>
  <c r="C620" i="10"/>
  <c r="A620" i="10"/>
  <c r="BA619" i="10"/>
  <c r="Z619" i="10"/>
  <c r="C619" i="10"/>
  <c r="A619" i="10"/>
  <c r="BA618" i="10"/>
  <c r="Z618" i="10"/>
  <c r="C618" i="10"/>
  <c r="A618" i="10"/>
  <c r="BA617" i="10"/>
  <c r="Z617" i="10"/>
  <c r="C617" i="10"/>
  <c r="A617" i="10"/>
  <c r="BA616" i="10"/>
  <c r="Z616" i="10"/>
  <c r="C616" i="10"/>
  <c r="A616" i="10"/>
  <c r="BA615" i="10"/>
  <c r="Z615" i="10"/>
  <c r="C615" i="10"/>
  <c r="A615" i="10"/>
  <c r="BA614" i="10"/>
  <c r="Z614" i="10"/>
  <c r="C614" i="10"/>
  <c r="A614" i="10"/>
  <c r="BA613" i="10"/>
  <c r="Z613" i="10"/>
  <c r="C613" i="10"/>
  <c r="A613" i="10"/>
  <c r="BA612" i="10"/>
  <c r="Z612" i="10"/>
  <c r="C612" i="10"/>
  <c r="A612" i="10"/>
  <c r="BA611" i="10"/>
  <c r="Z611" i="10"/>
  <c r="C611" i="10"/>
  <c r="A611" i="10"/>
  <c r="BA610" i="10"/>
  <c r="Z610" i="10"/>
  <c r="C610" i="10"/>
  <c r="A610" i="10"/>
  <c r="BA609" i="10"/>
  <c r="Z609" i="10"/>
  <c r="C609" i="10"/>
  <c r="A609" i="10"/>
  <c r="BA608" i="10"/>
  <c r="Z608" i="10"/>
  <c r="C608" i="10"/>
  <c r="A608" i="10"/>
  <c r="BA607" i="10"/>
  <c r="Z607" i="10"/>
  <c r="C607" i="10"/>
  <c r="A607" i="10"/>
  <c r="BA606" i="10"/>
  <c r="Z606" i="10"/>
  <c r="C606" i="10"/>
  <c r="A606" i="10"/>
  <c r="BA605" i="10"/>
  <c r="Z605" i="10"/>
  <c r="C605" i="10"/>
  <c r="A605" i="10"/>
  <c r="BA604" i="10"/>
  <c r="Z604" i="10"/>
  <c r="C604" i="10"/>
  <c r="A604" i="10"/>
  <c r="BA603" i="10"/>
  <c r="Z603" i="10"/>
  <c r="C603" i="10"/>
  <c r="A603" i="10"/>
  <c r="BA602" i="10"/>
  <c r="Z602" i="10"/>
  <c r="C602" i="10"/>
  <c r="A602" i="10"/>
  <c r="BA601" i="10"/>
  <c r="Z601" i="10"/>
  <c r="C601" i="10"/>
  <c r="A601" i="10"/>
  <c r="BA600" i="10"/>
  <c r="Z600" i="10"/>
  <c r="C600" i="10"/>
  <c r="A600" i="10"/>
  <c r="BA599" i="10"/>
  <c r="Z599" i="10"/>
  <c r="C599" i="10"/>
  <c r="A599" i="10"/>
  <c r="BA598" i="10"/>
  <c r="Z598" i="10"/>
  <c r="C598" i="10"/>
  <c r="A598" i="10"/>
  <c r="BA597" i="10"/>
  <c r="Z597" i="10"/>
  <c r="C597" i="10"/>
  <c r="A597" i="10"/>
  <c r="BA596" i="10"/>
  <c r="Z596" i="10"/>
  <c r="C596" i="10"/>
  <c r="A596" i="10"/>
  <c r="BA595" i="10"/>
  <c r="Z595" i="10"/>
  <c r="C595" i="10"/>
  <c r="A595" i="10"/>
  <c r="BA594" i="10"/>
  <c r="Z594" i="10"/>
  <c r="C594" i="10"/>
  <c r="A594" i="10"/>
  <c r="BA593" i="10"/>
  <c r="Z593" i="10"/>
  <c r="C593" i="10"/>
  <c r="A593" i="10"/>
  <c r="BA592" i="10"/>
  <c r="Z592" i="10"/>
  <c r="C592" i="10"/>
  <c r="A592" i="10"/>
  <c r="BA591" i="10"/>
  <c r="Z591" i="10"/>
  <c r="C591" i="10"/>
  <c r="A591" i="10"/>
  <c r="BA590" i="10"/>
  <c r="Z590" i="10"/>
  <c r="C590" i="10"/>
  <c r="A590" i="10"/>
  <c r="BA589" i="10"/>
  <c r="Z589" i="10"/>
  <c r="C589" i="10"/>
  <c r="A589" i="10"/>
  <c r="BA588" i="10"/>
  <c r="Z588" i="10"/>
  <c r="C588" i="10"/>
  <c r="A588" i="10"/>
  <c r="BA587" i="10"/>
  <c r="Z587" i="10"/>
  <c r="C587" i="10"/>
  <c r="A587" i="10"/>
  <c r="BA586" i="10"/>
  <c r="Z586" i="10"/>
  <c r="C586" i="10"/>
  <c r="A586" i="10"/>
  <c r="BA585" i="10"/>
  <c r="Z585" i="10"/>
  <c r="C585" i="10"/>
  <c r="A585" i="10"/>
  <c r="BA584" i="10"/>
  <c r="Z584" i="10"/>
  <c r="C584" i="10"/>
  <c r="A584" i="10"/>
  <c r="BA583" i="10"/>
  <c r="Z583" i="10"/>
  <c r="C583" i="10"/>
  <c r="A583" i="10"/>
  <c r="BA582" i="10"/>
  <c r="Z582" i="10"/>
  <c r="C582" i="10"/>
  <c r="A582" i="10"/>
  <c r="BA581" i="10"/>
  <c r="Z581" i="10"/>
  <c r="C581" i="10"/>
  <c r="A581" i="10"/>
  <c r="BA580" i="10"/>
  <c r="Z580" i="10"/>
  <c r="C580" i="10"/>
  <c r="A580" i="10"/>
  <c r="BA579" i="10"/>
  <c r="Z579" i="10"/>
  <c r="C579" i="10"/>
  <c r="A579" i="10"/>
  <c r="BA578" i="10"/>
  <c r="Z578" i="10"/>
  <c r="C578" i="10"/>
  <c r="A578" i="10"/>
  <c r="BA577" i="10"/>
  <c r="Z577" i="10"/>
  <c r="C577" i="10"/>
  <c r="A577" i="10"/>
  <c r="BA576" i="10"/>
  <c r="Z576" i="10"/>
  <c r="C576" i="10"/>
  <c r="A576" i="10"/>
  <c r="BA575" i="10"/>
  <c r="Z575" i="10"/>
  <c r="C575" i="10"/>
  <c r="A575" i="10"/>
  <c r="BA574" i="10"/>
  <c r="Z574" i="10"/>
  <c r="C574" i="10"/>
  <c r="A574" i="10"/>
  <c r="BA573" i="10"/>
  <c r="Z573" i="10"/>
  <c r="C573" i="10"/>
  <c r="A573" i="10"/>
  <c r="BA572" i="10"/>
  <c r="Z572" i="10"/>
  <c r="C572" i="10"/>
  <c r="A572" i="10"/>
  <c r="BA571" i="10"/>
  <c r="Z571" i="10"/>
  <c r="C571" i="10"/>
  <c r="A571" i="10"/>
  <c r="BA570" i="10"/>
  <c r="Z570" i="10"/>
  <c r="C570" i="10"/>
  <c r="A570" i="10"/>
  <c r="BA569" i="10"/>
  <c r="Z569" i="10"/>
  <c r="C569" i="10"/>
  <c r="A569" i="10"/>
  <c r="BA568" i="10"/>
  <c r="Z568" i="10"/>
  <c r="C568" i="10"/>
  <c r="A568" i="10"/>
  <c r="BA567" i="10"/>
  <c r="Z567" i="10"/>
  <c r="C567" i="10"/>
  <c r="A567" i="10"/>
  <c r="BA566" i="10"/>
  <c r="Z566" i="10"/>
  <c r="C566" i="10"/>
  <c r="A566" i="10"/>
  <c r="BA565" i="10"/>
  <c r="Z565" i="10"/>
  <c r="C565" i="10"/>
  <c r="A565" i="10"/>
  <c r="BA564" i="10"/>
  <c r="Z564" i="10"/>
  <c r="C564" i="10"/>
  <c r="A564" i="10"/>
  <c r="BA563" i="10"/>
  <c r="Z563" i="10"/>
  <c r="C563" i="10"/>
  <c r="A563" i="10"/>
  <c r="BA562" i="10"/>
  <c r="Z562" i="10"/>
  <c r="C562" i="10"/>
  <c r="A562" i="10"/>
  <c r="BA561" i="10"/>
  <c r="Z561" i="10"/>
  <c r="C561" i="10"/>
  <c r="A561" i="10"/>
  <c r="BA560" i="10"/>
  <c r="Z560" i="10"/>
  <c r="C560" i="10"/>
  <c r="A560" i="10"/>
  <c r="BA559" i="10"/>
  <c r="Z559" i="10"/>
  <c r="C559" i="10"/>
  <c r="A559" i="10"/>
  <c r="BA558" i="10"/>
  <c r="Z558" i="10"/>
  <c r="C558" i="10"/>
  <c r="A558" i="10"/>
  <c r="BA557" i="10"/>
  <c r="Z557" i="10"/>
  <c r="C557" i="10"/>
  <c r="A557" i="10"/>
  <c r="BA556" i="10"/>
  <c r="Z556" i="10"/>
  <c r="C556" i="10"/>
  <c r="A556" i="10"/>
  <c r="BA555" i="10"/>
  <c r="Z555" i="10"/>
  <c r="C555" i="10"/>
  <c r="A555" i="10"/>
  <c r="BA554" i="10"/>
  <c r="Z554" i="10"/>
  <c r="C554" i="10"/>
  <c r="A554" i="10"/>
  <c r="BA553" i="10"/>
  <c r="Z553" i="10"/>
  <c r="C553" i="10"/>
  <c r="A553" i="10"/>
  <c r="BA552" i="10"/>
  <c r="Z552" i="10"/>
  <c r="C552" i="10"/>
  <c r="A552" i="10"/>
  <c r="BA551" i="10"/>
  <c r="Z551" i="10"/>
  <c r="C551" i="10"/>
  <c r="A551" i="10"/>
  <c r="BA550" i="10"/>
  <c r="Z550" i="10"/>
  <c r="C550" i="10"/>
  <c r="A550" i="10"/>
  <c r="BA549" i="10"/>
  <c r="Z549" i="10"/>
  <c r="C549" i="10"/>
  <c r="A549" i="10"/>
  <c r="BA548" i="10"/>
  <c r="Z548" i="10"/>
  <c r="C548" i="10"/>
  <c r="A548" i="10"/>
  <c r="BA547" i="10"/>
  <c r="Z547" i="10"/>
  <c r="C547" i="10"/>
  <c r="A547" i="10"/>
  <c r="BA546" i="10"/>
  <c r="Z546" i="10"/>
  <c r="C546" i="10"/>
  <c r="A546" i="10"/>
  <c r="BA545" i="10"/>
  <c r="Z545" i="10"/>
  <c r="C545" i="10"/>
  <c r="A545" i="10"/>
  <c r="BA544" i="10"/>
  <c r="Z544" i="10"/>
  <c r="C544" i="10"/>
  <c r="A544" i="10"/>
  <c r="BA543" i="10"/>
  <c r="Z543" i="10"/>
  <c r="C543" i="10"/>
  <c r="A543" i="10"/>
  <c r="BA542" i="10"/>
  <c r="Z542" i="10"/>
  <c r="C542" i="10"/>
  <c r="A542" i="10"/>
  <c r="BA541" i="10"/>
  <c r="Z541" i="10"/>
  <c r="C541" i="10"/>
  <c r="A541" i="10"/>
  <c r="BA540" i="10"/>
  <c r="Z540" i="10"/>
  <c r="C540" i="10"/>
  <c r="A540" i="10"/>
  <c r="BA539" i="10"/>
  <c r="Z539" i="10"/>
  <c r="C539" i="10"/>
  <c r="A539" i="10"/>
  <c r="BA538" i="10"/>
  <c r="Z538" i="10"/>
  <c r="C538" i="10"/>
  <c r="A538" i="10"/>
  <c r="BA537" i="10"/>
  <c r="Z537" i="10"/>
  <c r="C537" i="10"/>
  <c r="A537" i="10"/>
  <c r="BA536" i="10"/>
  <c r="Z536" i="10"/>
  <c r="C536" i="10"/>
  <c r="A536" i="10"/>
  <c r="BA535" i="10"/>
  <c r="Z535" i="10"/>
  <c r="C535" i="10"/>
  <c r="A535" i="10"/>
  <c r="BA534" i="10"/>
  <c r="Z534" i="10"/>
  <c r="C534" i="10"/>
  <c r="A534" i="10"/>
  <c r="BA533" i="10"/>
  <c r="Z533" i="10"/>
  <c r="C533" i="10"/>
  <c r="A533" i="10"/>
  <c r="BA532" i="10"/>
  <c r="Z532" i="10"/>
  <c r="C532" i="10"/>
  <c r="A532" i="10"/>
  <c r="BA531" i="10"/>
  <c r="Z531" i="10"/>
  <c r="C531" i="10"/>
  <c r="A531" i="10"/>
  <c r="BA530" i="10"/>
  <c r="Z530" i="10"/>
  <c r="C530" i="10"/>
  <c r="A530" i="10"/>
  <c r="BA529" i="10"/>
  <c r="Z529" i="10"/>
  <c r="C529" i="10"/>
  <c r="A529" i="10"/>
  <c r="BA528" i="10"/>
  <c r="Z528" i="10"/>
  <c r="C528" i="10"/>
  <c r="A528" i="10"/>
  <c r="BA527" i="10"/>
  <c r="Z527" i="10"/>
  <c r="C527" i="10"/>
  <c r="A527" i="10"/>
  <c r="BA526" i="10"/>
  <c r="Z526" i="10"/>
  <c r="C526" i="10"/>
  <c r="A526" i="10"/>
  <c r="BA525" i="10"/>
  <c r="Z525" i="10"/>
  <c r="C525" i="10"/>
  <c r="A525" i="10"/>
  <c r="BA524" i="10"/>
  <c r="Z524" i="10"/>
  <c r="C524" i="10"/>
  <c r="A524" i="10"/>
  <c r="BA523" i="10"/>
  <c r="Z523" i="10"/>
  <c r="C523" i="10"/>
  <c r="A523" i="10"/>
  <c r="BA522" i="10"/>
  <c r="Z522" i="10"/>
  <c r="C522" i="10"/>
  <c r="A522" i="10"/>
  <c r="BA521" i="10"/>
  <c r="Z521" i="10"/>
  <c r="C521" i="10"/>
  <c r="A521" i="10"/>
  <c r="BA520" i="10"/>
  <c r="Z520" i="10"/>
  <c r="C520" i="10"/>
  <c r="A520" i="10"/>
  <c r="BA519" i="10"/>
  <c r="Z519" i="10"/>
  <c r="C519" i="10"/>
  <c r="A519" i="10"/>
  <c r="BA518" i="10"/>
  <c r="Z518" i="10"/>
  <c r="C518" i="10"/>
  <c r="A518" i="10"/>
  <c r="BA517" i="10"/>
  <c r="Z517" i="10"/>
  <c r="C517" i="10"/>
  <c r="A517" i="10"/>
  <c r="BA516" i="10"/>
  <c r="Z516" i="10"/>
  <c r="C516" i="10"/>
  <c r="A516" i="10"/>
  <c r="BA515" i="10"/>
  <c r="Z515" i="10"/>
  <c r="C515" i="10"/>
  <c r="A515" i="10"/>
  <c r="BA514" i="10"/>
  <c r="Z514" i="10"/>
  <c r="C514" i="10"/>
  <c r="A514" i="10"/>
  <c r="BA513" i="10"/>
  <c r="Z513" i="10"/>
  <c r="C513" i="10"/>
  <c r="A513" i="10"/>
  <c r="BA512" i="10"/>
  <c r="Z512" i="10"/>
  <c r="C512" i="10"/>
  <c r="A512" i="10"/>
  <c r="BA511" i="10"/>
  <c r="Z511" i="10"/>
  <c r="C511" i="10"/>
  <c r="A511" i="10"/>
  <c r="BA510" i="10"/>
  <c r="Z510" i="10"/>
  <c r="C510" i="10"/>
  <c r="A510" i="10"/>
  <c r="BA509" i="10"/>
  <c r="Z509" i="10"/>
  <c r="C509" i="10"/>
  <c r="A509" i="10"/>
  <c r="BA508" i="10"/>
  <c r="Z508" i="10"/>
  <c r="C508" i="10"/>
  <c r="A508" i="10"/>
  <c r="BA507" i="10"/>
  <c r="Z507" i="10"/>
  <c r="C507" i="10"/>
  <c r="A507" i="10"/>
  <c r="BA506" i="10"/>
  <c r="Z506" i="10"/>
  <c r="C506" i="10"/>
  <c r="A506" i="10"/>
  <c r="BA505" i="10"/>
  <c r="Z505" i="10"/>
  <c r="C505" i="10"/>
  <c r="A505" i="10"/>
  <c r="BA504" i="10"/>
  <c r="Z504" i="10"/>
  <c r="C504" i="10"/>
  <c r="A504" i="10"/>
  <c r="BA503" i="10"/>
  <c r="Z503" i="10"/>
  <c r="C503" i="10"/>
  <c r="A503" i="10"/>
  <c r="BA502" i="10"/>
  <c r="Z502" i="10"/>
  <c r="C502" i="10"/>
  <c r="A502" i="10"/>
  <c r="BA501" i="10"/>
  <c r="Z501" i="10"/>
  <c r="C501" i="10"/>
  <c r="A501" i="10"/>
  <c r="BA500" i="10"/>
  <c r="Z500" i="10"/>
  <c r="C500" i="10"/>
  <c r="A500" i="10"/>
  <c r="BA499" i="10"/>
  <c r="Z499" i="10"/>
  <c r="C499" i="10"/>
  <c r="A499" i="10"/>
  <c r="BA498" i="10"/>
  <c r="Z498" i="10"/>
  <c r="C498" i="10"/>
  <c r="A498" i="10"/>
  <c r="BA497" i="10"/>
  <c r="Z497" i="10"/>
  <c r="C497" i="10"/>
  <c r="A497" i="10"/>
  <c r="BA496" i="10"/>
  <c r="Z496" i="10"/>
  <c r="C496" i="10"/>
  <c r="A496" i="10"/>
  <c r="BA495" i="10"/>
  <c r="Z495" i="10"/>
  <c r="C495" i="10"/>
  <c r="A495" i="10"/>
  <c r="BA494" i="10"/>
  <c r="Z494" i="10"/>
  <c r="C494" i="10"/>
  <c r="A494" i="10"/>
  <c r="BA493" i="10"/>
  <c r="Z493" i="10"/>
  <c r="C493" i="10"/>
  <c r="A493" i="10"/>
  <c r="BA492" i="10"/>
  <c r="Z492" i="10"/>
  <c r="C492" i="10"/>
  <c r="A492" i="10"/>
  <c r="BA491" i="10"/>
  <c r="Z491" i="10"/>
  <c r="C491" i="10"/>
  <c r="A491" i="10"/>
  <c r="BA490" i="10"/>
  <c r="Z490" i="10"/>
  <c r="C490" i="10"/>
  <c r="A490" i="10"/>
  <c r="BA489" i="10"/>
  <c r="Z489" i="10"/>
  <c r="C489" i="10"/>
  <c r="A489" i="10"/>
  <c r="BA488" i="10"/>
  <c r="Z488" i="10"/>
  <c r="C488" i="10"/>
  <c r="A488" i="10"/>
  <c r="BA487" i="10"/>
  <c r="Z487" i="10"/>
  <c r="C487" i="10"/>
  <c r="A487" i="10"/>
  <c r="BA486" i="10"/>
  <c r="Z486" i="10"/>
  <c r="C486" i="10"/>
  <c r="A486" i="10"/>
  <c r="BA485" i="10"/>
  <c r="Z485" i="10"/>
  <c r="C485" i="10"/>
  <c r="A485" i="10"/>
  <c r="BA484" i="10"/>
  <c r="Z484" i="10"/>
  <c r="C484" i="10"/>
  <c r="A484" i="10"/>
  <c r="BA483" i="10"/>
  <c r="Z483" i="10"/>
  <c r="C483" i="10"/>
  <c r="A483" i="10"/>
  <c r="BA482" i="10"/>
  <c r="Z482" i="10"/>
  <c r="C482" i="10"/>
  <c r="A482" i="10"/>
  <c r="BA481" i="10"/>
  <c r="Z481" i="10"/>
  <c r="C481" i="10"/>
  <c r="A481" i="10"/>
  <c r="BA480" i="10"/>
  <c r="Z480" i="10"/>
  <c r="C480" i="10"/>
  <c r="A480" i="10"/>
  <c r="BA479" i="10"/>
  <c r="Z479" i="10"/>
  <c r="C479" i="10"/>
  <c r="A479" i="10"/>
  <c r="BA478" i="10"/>
  <c r="Z478" i="10"/>
  <c r="C478" i="10"/>
  <c r="A478" i="10"/>
  <c r="BA477" i="10"/>
  <c r="Z477" i="10"/>
  <c r="C477" i="10"/>
  <c r="A477" i="10"/>
  <c r="BA476" i="10"/>
  <c r="Z476" i="10"/>
  <c r="C476" i="10"/>
  <c r="A476" i="10"/>
  <c r="BA475" i="10"/>
  <c r="Z475" i="10"/>
  <c r="C475" i="10"/>
  <c r="A475" i="10"/>
  <c r="BA474" i="10"/>
  <c r="Z474" i="10"/>
  <c r="C474" i="10"/>
  <c r="A474" i="10"/>
  <c r="BA473" i="10"/>
  <c r="Z473" i="10"/>
  <c r="C473" i="10"/>
  <c r="A473" i="10"/>
  <c r="BA472" i="10"/>
  <c r="Z472" i="10"/>
  <c r="C472" i="10"/>
  <c r="A472" i="10"/>
  <c r="BA471" i="10"/>
  <c r="Z471" i="10"/>
  <c r="C471" i="10"/>
  <c r="A471" i="10"/>
  <c r="BA470" i="10"/>
  <c r="Z470" i="10"/>
  <c r="C470" i="10"/>
  <c r="A470" i="10"/>
  <c r="BA469" i="10"/>
  <c r="Z469" i="10"/>
  <c r="C469" i="10"/>
  <c r="A469" i="10"/>
  <c r="BA468" i="10"/>
  <c r="Z468" i="10"/>
  <c r="C468" i="10"/>
  <c r="A468" i="10"/>
  <c r="BA467" i="10"/>
  <c r="Z467" i="10"/>
  <c r="C467" i="10"/>
  <c r="A467" i="10"/>
  <c r="BA466" i="10"/>
  <c r="Z466" i="10"/>
  <c r="C466" i="10"/>
  <c r="A466" i="10"/>
  <c r="BA465" i="10"/>
  <c r="Z465" i="10"/>
  <c r="C465" i="10"/>
  <c r="A465" i="10"/>
  <c r="BA464" i="10"/>
  <c r="Z464" i="10"/>
  <c r="C464" i="10"/>
  <c r="A464" i="10"/>
  <c r="BA463" i="10"/>
  <c r="Z463" i="10"/>
  <c r="C463" i="10"/>
  <c r="A463" i="10"/>
  <c r="BA462" i="10"/>
  <c r="Z462" i="10"/>
  <c r="C462" i="10"/>
  <c r="A462" i="10"/>
  <c r="BA461" i="10"/>
  <c r="Z461" i="10"/>
  <c r="C461" i="10"/>
  <c r="A461" i="10"/>
  <c r="BA460" i="10"/>
  <c r="Z460" i="10"/>
  <c r="C460" i="10"/>
  <c r="A460" i="10"/>
  <c r="BA459" i="10"/>
  <c r="Z459" i="10"/>
  <c r="C459" i="10"/>
  <c r="A459" i="10"/>
  <c r="BA458" i="10"/>
  <c r="Z458" i="10"/>
  <c r="C458" i="10"/>
  <c r="A458" i="10"/>
  <c r="BA457" i="10"/>
  <c r="Z457" i="10"/>
  <c r="C457" i="10"/>
  <c r="A457" i="10"/>
  <c r="BA456" i="10"/>
  <c r="Z456" i="10"/>
  <c r="C456" i="10"/>
  <c r="A456" i="10"/>
  <c r="BA455" i="10"/>
  <c r="Z455" i="10"/>
  <c r="C455" i="10"/>
  <c r="A455" i="10"/>
  <c r="BA454" i="10"/>
  <c r="Z454" i="10"/>
  <c r="C454" i="10"/>
  <c r="A454" i="10"/>
  <c r="BA453" i="10"/>
  <c r="Z453" i="10"/>
  <c r="C453" i="10"/>
  <c r="A453" i="10"/>
  <c r="BA452" i="10"/>
  <c r="Z452" i="10"/>
  <c r="C452" i="10"/>
  <c r="A452" i="10"/>
  <c r="BA451" i="10"/>
  <c r="Z451" i="10"/>
  <c r="C451" i="10"/>
  <c r="A451" i="10"/>
  <c r="BA450" i="10"/>
  <c r="Z450" i="10"/>
  <c r="C450" i="10"/>
  <c r="A450" i="10"/>
  <c r="BA449" i="10"/>
  <c r="Z449" i="10"/>
  <c r="C449" i="10"/>
  <c r="A449" i="10"/>
  <c r="BA448" i="10"/>
  <c r="Z448" i="10"/>
  <c r="C448" i="10"/>
  <c r="A448" i="10"/>
  <c r="BA447" i="10"/>
  <c r="Z447" i="10"/>
  <c r="C447" i="10"/>
  <c r="A447" i="10"/>
  <c r="BA446" i="10"/>
  <c r="Z446" i="10"/>
  <c r="C446" i="10"/>
  <c r="A446" i="10"/>
  <c r="BA445" i="10"/>
  <c r="Z445" i="10"/>
  <c r="C445" i="10"/>
  <c r="A445" i="10"/>
  <c r="BA444" i="10"/>
  <c r="Z444" i="10"/>
  <c r="C444" i="10"/>
  <c r="A444" i="10"/>
  <c r="BA443" i="10"/>
  <c r="Z443" i="10"/>
  <c r="C443" i="10"/>
  <c r="A443" i="10"/>
  <c r="BA442" i="10"/>
  <c r="Z442" i="10"/>
  <c r="C442" i="10"/>
  <c r="A442" i="10"/>
  <c r="BA441" i="10"/>
  <c r="Z441" i="10"/>
  <c r="C441" i="10"/>
  <c r="A441" i="10"/>
  <c r="BA440" i="10"/>
  <c r="Z440" i="10"/>
  <c r="C440" i="10"/>
  <c r="A440" i="10"/>
  <c r="BA439" i="10"/>
  <c r="Z439" i="10"/>
  <c r="C439" i="10"/>
  <c r="A439" i="10"/>
  <c r="BA438" i="10"/>
  <c r="Z438" i="10"/>
  <c r="C438" i="10"/>
  <c r="A438" i="10"/>
  <c r="BA437" i="10"/>
  <c r="Z437" i="10"/>
  <c r="C437" i="10"/>
  <c r="A437" i="10"/>
  <c r="BA436" i="10"/>
  <c r="Z436" i="10"/>
  <c r="C436" i="10"/>
  <c r="A436" i="10"/>
  <c r="BA435" i="10"/>
  <c r="Z435" i="10"/>
  <c r="C435" i="10"/>
  <c r="A435" i="10"/>
  <c r="BA434" i="10"/>
  <c r="Z434" i="10"/>
  <c r="C434" i="10"/>
  <c r="A434" i="10"/>
  <c r="BA433" i="10"/>
  <c r="Z433" i="10"/>
  <c r="C433" i="10"/>
  <c r="A433" i="10"/>
  <c r="BA432" i="10"/>
  <c r="Z432" i="10"/>
  <c r="C432" i="10"/>
  <c r="A432" i="10"/>
  <c r="BA431" i="10"/>
  <c r="Z431" i="10"/>
  <c r="C431" i="10"/>
  <c r="A431" i="10"/>
  <c r="BA430" i="10"/>
  <c r="Z430" i="10"/>
  <c r="C430" i="10"/>
  <c r="A430" i="10"/>
  <c r="BA429" i="10"/>
  <c r="Z429" i="10"/>
  <c r="C429" i="10"/>
  <c r="A429" i="10"/>
  <c r="BA428" i="10"/>
  <c r="Z428" i="10"/>
  <c r="C428" i="10"/>
  <c r="A428" i="10"/>
  <c r="BA427" i="10"/>
  <c r="Z427" i="10"/>
  <c r="C427" i="10"/>
  <c r="A427" i="10"/>
  <c r="BA426" i="10"/>
  <c r="Z426" i="10"/>
  <c r="C426" i="10"/>
  <c r="A426" i="10"/>
  <c r="BA425" i="10"/>
  <c r="Z425" i="10"/>
  <c r="C425" i="10"/>
  <c r="A425" i="10"/>
  <c r="BA424" i="10"/>
  <c r="Z424" i="10"/>
  <c r="C424" i="10"/>
  <c r="A424" i="10"/>
  <c r="BA423" i="10"/>
  <c r="Z423" i="10"/>
  <c r="C423" i="10"/>
  <c r="A423" i="10"/>
  <c r="BA422" i="10"/>
  <c r="Z422" i="10"/>
  <c r="C422" i="10"/>
  <c r="A422" i="10"/>
  <c r="BA421" i="10"/>
  <c r="Z421" i="10"/>
  <c r="C421" i="10"/>
  <c r="A421" i="10"/>
  <c r="BA420" i="10"/>
  <c r="Z420" i="10"/>
  <c r="C420" i="10"/>
  <c r="A420" i="10"/>
  <c r="BA419" i="10"/>
  <c r="Z419" i="10"/>
  <c r="C419" i="10"/>
  <c r="A419" i="10"/>
  <c r="BA418" i="10"/>
  <c r="Z418" i="10"/>
  <c r="C418" i="10"/>
  <c r="A418" i="10"/>
  <c r="BA417" i="10"/>
  <c r="Z417" i="10"/>
  <c r="C417" i="10"/>
  <c r="A417" i="10"/>
  <c r="BA416" i="10"/>
  <c r="Z416" i="10"/>
  <c r="C416" i="10"/>
  <c r="A416" i="10"/>
  <c r="BA415" i="10"/>
  <c r="Z415" i="10"/>
  <c r="C415" i="10"/>
  <c r="A415" i="10"/>
  <c r="BA414" i="10"/>
  <c r="Z414" i="10"/>
  <c r="C414" i="10"/>
  <c r="A414" i="10"/>
  <c r="BA413" i="10"/>
  <c r="Z413" i="10"/>
  <c r="C413" i="10"/>
  <c r="A413" i="10"/>
  <c r="BA412" i="10"/>
  <c r="Z412" i="10"/>
  <c r="C412" i="10"/>
  <c r="A412" i="10"/>
  <c r="BA411" i="10"/>
  <c r="Z411" i="10"/>
  <c r="C411" i="10"/>
  <c r="A411" i="10"/>
  <c r="BA410" i="10"/>
  <c r="Z410" i="10"/>
  <c r="C410" i="10"/>
  <c r="A410" i="10"/>
  <c r="BA409" i="10"/>
  <c r="Z409" i="10"/>
  <c r="C409" i="10"/>
  <c r="A409" i="10"/>
  <c r="BA408" i="10"/>
  <c r="Z408" i="10"/>
  <c r="C408" i="10"/>
  <c r="A408" i="10"/>
  <c r="BA407" i="10"/>
  <c r="Z407" i="10"/>
  <c r="C407" i="10"/>
  <c r="A407" i="10"/>
  <c r="BA406" i="10"/>
  <c r="Z406" i="10"/>
  <c r="C406" i="10"/>
  <c r="A406" i="10"/>
  <c r="BA405" i="10"/>
  <c r="Z405" i="10"/>
  <c r="C405" i="10"/>
  <c r="A405" i="10"/>
  <c r="BA404" i="10"/>
  <c r="Z404" i="10"/>
  <c r="C404" i="10"/>
  <c r="A404" i="10"/>
  <c r="BA403" i="10"/>
  <c r="Z403" i="10"/>
  <c r="C403" i="10"/>
  <c r="A403" i="10"/>
  <c r="BA402" i="10"/>
  <c r="Z402" i="10"/>
  <c r="C402" i="10"/>
  <c r="A402" i="10"/>
  <c r="BA401" i="10"/>
  <c r="Z401" i="10"/>
  <c r="C401" i="10"/>
  <c r="A401" i="10"/>
  <c r="BA400" i="10"/>
  <c r="Z400" i="10"/>
  <c r="C400" i="10"/>
  <c r="A400" i="10"/>
  <c r="BA399" i="10"/>
  <c r="Z399" i="10"/>
  <c r="C399" i="10"/>
  <c r="A399" i="10"/>
  <c r="BA398" i="10"/>
  <c r="Z398" i="10"/>
  <c r="C398" i="10"/>
  <c r="A398" i="10"/>
  <c r="BA397" i="10"/>
  <c r="Z397" i="10"/>
  <c r="C397" i="10"/>
  <c r="A397" i="10"/>
  <c r="BA396" i="10"/>
  <c r="Z396" i="10"/>
  <c r="C396" i="10"/>
  <c r="A396" i="10"/>
  <c r="BA395" i="10"/>
  <c r="Z395" i="10"/>
  <c r="C395" i="10"/>
  <c r="A395" i="10"/>
  <c r="BA394" i="10"/>
  <c r="Z394" i="10"/>
  <c r="C394" i="10"/>
  <c r="A394" i="10"/>
  <c r="BA393" i="10"/>
  <c r="Z393" i="10"/>
  <c r="C393" i="10"/>
  <c r="A393" i="10"/>
  <c r="BA392" i="10"/>
  <c r="Z392" i="10"/>
  <c r="C392" i="10"/>
  <c r="A392" i="10"/>
  <c r="BA391" i="10"/>
  <c r="Z391" i="10"/>
  <c r="C391" i="10"/>
  <c r="A391" i="10"/>
  <c r="BA390" i="10"/>
  <c r="Z390" i="10"/>
  <c r="C390" i="10"/>
  <c r="A390" i="10"/>
  <c r="BA389" i="10"/>
  <c r="Z389" i="10"/>
  <c r="C389" i="10"/>
  <c r="A389" i="10"/>
  <c r="BA388" i="10"/>
  <c r="Z388" i="10"/>
  <c r="C388" i="10"/>
  <c r="A388" i="10"/>
  <c r="BA387" i="10"/>
  <c r="Z387" i="10"/>
  <c r="C387" i="10"/>
  <c r="A387" i="10"/>
  <c r="BA386" i="10"/>
  <c r="Z386" i="10"/>
  <c r="C386" i="10"/>
  <c r="A386" i="10"/>
  <c r="BA385" i="10"/>
  <c r="Z385" i="10"/>
  <c r="C385" i="10"/>
  <c r="A385" i="10"/>
  <c r="BA384" i="10"/>
  <c r="Z384" i="10"/>
  <c r="C384" i="10"/>
  <c r="A384" i="10"/>
  <c r="BA383" i="10"/>
  <c r="Z383" i="10"/>
  <c r="C383" i="10"/>
  <c r="A383" i="10"/>
  <c r="BA382" i="10"/>
  <c r="Z382" i="10"/>
  <c r="C382" i="10"/>
  <c r="A382" i="10"/>
  <c r="BA381" i="10"/>
  <c r="Z381" i="10"/>
  <c r="C381" i="10"/>
  <c r="A381" i="10"/>
  <c r="BA380" i="10"/>
  <c r="Z380" i="10"/>
  <c r="C380" i="10"/>
  <c r="A380" i="10"/>
  <c r="BA379" i="10"/>
  <c r="Z379" i="10"/>
  <c r="C379" i="10"/>
  <c r="A379" i="10"/>
  <c r="BA378" i="10"/>
  <c r="Z378" i="10"/>
  <c r="C378" i="10"/>
  <c r="A378" i="10"/>
  <c r="BA377" i="10"/>
  <c r="Z377" i="10"/>
  <c r="C377" i="10"/>
  <c r="A377" i="10"/>
  <c r="BA376" i="10"/>
  <c r="Z376" i="10"/>
  <c r="C376" i="10"/>
  <c r="A376" i="10"/>
  <c r="BA375" i="10"/>
  <c r="Z375" i="10"/>
  <c r="C375" i="10"/>
  <c r="A375" i="10"/>
  <c r="BA374" i="10"/>
  <c r="Z374" i="10"/>
  <c r="C374" i="10"/>
  <c r="A374" i="10"/>
  <c r="BA373" i="10"/>
  <c r="Z373" i="10"/>
  <c r="C373" i="10"/>
  <c r="A373" i="10"/>
  <c r="BA372" i="10"/>
  <c r="Z372" i="10"/>
  <c r="C372" i="10"/>
  <c r="A372" i="10"/>
  <c r="BA371" i="10"/>
  <c r="Z371" i="10"/>
  <c r="C371" i="10"/>
  <c r="A371" i="10"/>
  <c r="BA370" i="10"/>
  <c r="Z370" i="10"/>
  <c r="C370" i="10"/>
  <c r="A370" i="10"/>
  <c r="BA369" i="10"/>
  <c r="Z369" i="10"/>
  <c r="C369" i="10"/>
  <c r="A369" i="10"/>
  <c r="BA368" i="10"/>
  <c r="Z368" i="10"/>
  <c r="C368" i="10"/>
  <c r="A368" i="10"/>
  <c r="BA367" i="10"/>
  <c r="Z367" i="10"/>
  <c r="C367" i="10"/>
  <c r="A367" i="10"/>
  <c r="BA366" i="10"/>
  <c r="Z366" i="10"/>
  <c r="C366" i="10"/>
  <c r="A366" i="10"/>
  <c r="BA365" i="10"/>
  <c r="Z365" i="10"/>
  <c r="C365" i="10"/>
  <c r="A365" i="10"/>
  <c r="BA364" i="10"/>
  <c r="Z364" i="10"/>
  <c r="C364" i="10"/>
  <c r="A364" i="10"/>
  <c r="BA363" i="10"/>
  <c r="Z363" i="10"/>
  <c r="C363" i="10"/>
  <c r="A363" i="10"/>
  <c r="BA362" i="10"/>
  <c r="Z362" i="10"/>
  <c r="C362" i="10"/>
  <c r="A362" i="10"/>
  <c r="BA361" i="10"/>
  <c r="Z361" i="10"/>
  <c r="C361" i="10"/>
  <c r="A361" i="10"/>
  <c r="BA360" i="10"/>
  <c r="Z360" i="10"/>
  <c r="C360" i="10"/>
  <c r="A360" i="10"/>
  <c r="BA359" i="10"/>
  <c r="Z359" i="10"/>
  <c r="C359" i="10"/>
  <c r="A359" i="10"/>
  <c r="BA358" i="10"/>
  <c r="Z358" i="10"/>
  <c r="C358" i="10"/>
  <c r="A358" i="10"/>
  <c r="BA357" i="10"/>
  <c r="Z357" i="10"/>
  <c r="C357" i="10"/>
  <c r="A357" i="10"/>
  <c r="BA356" i="10"/>
  <c r="Z356" i="10"/>
  <c r="C356" i="10"/>
  <c r="A356" i="10"/>
  <c r="BA355" i="10"/>
  <c r="Z355" i="10"/>
  <c r="C355" i="10"/>
  <c r="A355" i="10"/>
  <c r="BA354" i="10"/>
  <c r="Z354" i="10"/>
  <c r="C354" i="10"/>
  <c r="A354" i="10"/>
  <c r="BA353" i="10"/>
  <c r="Z353" i="10"/>
  <c r="C353" i="10"/>
  <c r="A353" i="10"/>
  <c r="BA352" i="10"/>
  <c r="Z352" i="10"/>
  <c r="C352" i="10"/>
  <c r="A352" i="10"/>
  <c r="BA351" i="10"/>
  <c r="Z351" i="10"/>
  <c r="C351" i="10"/>
  <c r="A351" i="10"/>
  <c r="BA350" i="10"/>
  <c r="Z350" i="10"/>
  <c r="C350" i="10"/>
  <c r="A350" i="10"/>
  <c r="BA349" i="10"/>
  <c r="Z349" i="10"/>
  <c r="C349" i="10"/>
  <c r="A349" i="10"/>
  <c r="BA348" i="10"/>
  <c r="Z348" i="10"/>
  <c r="C348" i="10"/>
  <c r="A348" i="10"/>
  <c r="BA347" i="10"/>
  <c r="Z347" i="10"/>
  <c r="C347" i="10"/>
  <c r="A347" i="10"/>
  <c r="BA346" i="10"/>
  <c r="Z346" i="10"/>
  <c r="C346" i="10"/>
  <c r="A346" i="10"/>
  <c r="BA345" i="10"/>
  <c r="Z345" i="10"/>
  <c r="C345" i="10"/>
  <c r="A345" i="10"/>
  <c r="BA344" i="10"/>
  <c r="Z344" i="10"/>
  <c r="C344" i="10"/>
  <c r="A344" i="10"/>
  <c r="BA343" i="10"/>
  <c r="Z343" i="10"/>
  <c r="C343" i="10"/>
  <c r="A343" i="10"/>
  <c r="BA342" i="10"/>
  <c r="Z342" i="10"/>
  <c r="C342" i="10"/>
  <c r="A342" i="10"/>
  <c r="BA341" i="10"/>
  <c r="Z341" i="10"/>
  <c r="C341" i="10"/>
  <c r="A341" i="10"/>
  <c r="BA340" i="10"/>
  <c r="Z340" i="10"/>
  <c r="C340" i="10"/>
  <c r="A340" i="10"/>
  <c r="BA339" i="10"/>
  <c r="Z339" i="10"/>
  <c r="C339" i="10"/>
  <c r="A339" i="10"/>
  <c r="BA338" i="10"/>
  <c r="Z338" i="10"/>
  <c r="C338" i="10"/>
  <c r="A338" i="10"/>
  <c r="BA337" i="10"/>
  <c r="Z337" i="10"/>
  <c r="C337" i="10"/>
  <c r="A337" i="10"/>
  <c r="BA336" i="10"/>
  <c r="Z336" i="10"/>
  <c r="C336" i="10"/>
  <c r="A336" i="10"/>
  <c r="BA335" i="10"/>
  <c r="Z335" i="10"/>
  <c r="C335" i="10"/>
  <c r="A335" i="10"/>
  <c r="BA334" i="10"/>
  <c r="Z334" i="10"/>
  <c r="C334" i="10"/>
  <c r="A334" i="10"/>
  <c r="BA333" i="10"/>
  <c r="Z333" i="10"/>
  <c r="C333" i="10"/>
  <c r="A333" i="10"/>
  <c r="BA332" i="10"/>
  <c r="Z332" i="10"/>
  <c r="C332" i="10"/>
  <c r="A332" i="10"/>
  <c r="BA331" i="10"/>
  <c r="Z331" i="10"/>
  <c r="C331" i="10"/>
  <c r="A331" i="10"/>
  <c r="BA330" i="10"/>
  <c r="Z330" i="10"/>
  <c r="C330" i="10"/>
  <c r="A330" i="10"/>
  <c r="BA329" i="10"/>
  <c r="Z329" i="10"/>
  <c r="C329" i="10"/>
  <c r="A329" i="10"/>
  <c r="BA328" i="10"/>
  <c r="Z328" i="10"/>
  <c r="C328" i="10"/>
  <c r="A328" i="10"/>
  <c r="BA327" i="10"/>
  <c r="Z327" i="10"/>
  <c r="C327" i="10"/>
  <c r="A327" i="10"/>
  <c r="BA326" i="10"/>
  <c r="Z326" i="10"/>
  <c r="C326" i="10"/>
  <c r="A326" i="10"/>
  <c r="BA325" i="10"/>
  <c r="Z325" i="10"/>
  <c r="C325" i="10"/>
  <c r="A325" i="10"/>
  <c r="BA324" i="10"/>
  <c r="Z324" i="10"/>
  <c r="C324" i="10"/>
  <c r="A324" i="10"/>
  <c r="BA323" i="10"/>
  <c r="Z323" i="10"/>
  <c r="C323" i="10"/>
  <c r="A323" i="10"/>
  <c r="BA322" i="10"/>
  <c r="Z322" i="10"/>
  <c r="C322" i="10"/>
  <c r="A322" i="10"/>
  <c r="BA321" i="10"/>
  <c r="Z321" i="10"/>
  <c r="C321" i="10"/>
  <c r="A321" i="10"/>
  <c r="BA320" i="10"/>
  <c r="Z320" i="10"/>
  <c r="C320" i="10"/>
  <c r="A320" i="10"/>
  <c r="BA319" i="10"/>
  <c r="Z319" i="10"/>
  <c r="C319" i="10"/>
  <c r="A319" i="10"/>
  <c r="BA318" i="10"/>
  <c r="Z318" i="10"/>
  <c r="C318" i="10"/>
  <c r="A318" i="10"/>
  <c r="BA317" i="10"/>
  <c r="Z317" i="10"/>
  <c r="C317" i="10"/>
  <c r="A317" i="10"/>
  <c r="BA316" i="10"/>
  <c r="Z316" i="10"/>
  <c r="C316" i="10"/>
  <c r="A316" i="10"/>
  <c r="BA315" i="10"/>
  <c r="Z315" i="10"/>
  <c r="C315" i="10"/>
  <c r="A315" i="10"/>
  <c r="BA314" i="10"/>
  <c r="Z314" i="10"/>
  <c r="C314" i="10"/>
  <c r="A314" i="10"/>
  <c r="BA313" i="10"/>
  <c r="Z313" i="10"/>
  <c r="C313" i="10"/>
  <c r="A313" i="10"/>
  <c r="BA312" i="10"/>
  <c r="Z312" i="10"/>
  <c r="C312" i="10"/>
  <c r="A312" i="10"/>
  <c r="BA311" i="10"/>
  <c r="Z311" i="10"/>
  <c r="C311" i="10"/>
  <c r="A311" i="10"/>
  <c r="BA310" i="10"/>
  <c r="Z310" i="10"/>
  <c r="C310" i="10"/>
  <c r="A310" i="10"/>
  <c r="BA309" i="10"/>
  <c r="Z309" i="10"/>
  <c r="C309" i="10"/>
  <c r="A309" i="10"/>
  <c r="BA308" i="10"/>
  <c r="Z308" i="10"/>
  <c r="C308" i="10"/>
  <c r="A308" i="10"/>
  <c r="BA307" i="10"/>
  <c r="Z307" i="10"/>
  <c r="C307" i="10"/>
  <c r="A307" i="10"/>
  <c r="BA306" i="10"/>
  <c r="Z306" i="10"/>
  <c r="C306" i="10"/>
  <c r="A306" i="10"/>
  <c r="BA305" i="10"/>
  <c r="Z305" i="10"/>
  <c r="C305" i="10"/>
  <c r="A305" i="10"/>
  <c r="BA304" i="10"/>
  <c r="Z304" i="10"/>
  <c r="C304" i="10"/>
  <c r="A304" i="10"/>
  <c r="BA303" i="10"/>
  <c r="Z303" i="10"/>
  <c r="C303" i="10"/>
  <c r="A303" i="10"/>
  <c r="BA302" i="10"/>
  <c r="Z302" i="10"/>
  <c r="C302" i="10"/>
  <c r="A302" i="10"/>
  <c r="BA301" i="10"/>
  <c r="Z301" i="10"/>
  <c r="C301" i="10"/>
  <c r="A301" i="10"/>
  <c r="BA300" i="10"/>
  <c r="Z300" i="10"/>
  <c r="C300" i="10"/>
  <c r="A300" i="10"/>
  <c r="BA299" i="10"/>
  <c r="Z299" i="10"/>
  <c r="C299" i="10"/>
  <c r="A299" i="10"/>
  <c r="BA298" i="10"/>
  <c r="Z298" i="10"/>
  <c r="C298" i="10"/>
  <c r="A298" i="10"/>
  <c r="BA297" i="10"/>
  <c r="Z297" i="10"/>
  <c r="C297" i="10"/>
  <c r="A297" i="10"/>
  <c r="BA296" i="10"/>
  <c r="Z296" i="10"/>
  <c r="C296" i="10"/>
  <c r="A296" i="10"/>
  <c r="BA295" i="10"/>
  <c r="Z295" i="10"/>
  <c r="C295" i="10"/>
  <c r="A295" i="10"/>
  <c r="BA294" i="10"/>
  <c r="Z294" i="10"/>
  <c r="C294" i="10"/>
  <c r="A294" i="10"/>
  <c r="BA293" i="10"/>
  <c r="Z293" i="10"/>
  <c r="C293" i="10"/>
  <c r="A293" i="10"/>
  <c r="BA292" i="10"/>
  <c r="Z292" i="10"/>
  <c r="C292" i="10"/>
  <c r="A292" i="10"/>
  <c r="BA291" i="10"/>
  <c r="Z291" i="10"/>
  <c r="C291" i="10"/>
  <c r="A291" i="10"/>
  <c r="BA290" i="10"/>
  <c r="Z290" i="10"/>
  <c r="C290" i="10"/>
  <c r="A290" i="10"/>
  <c r="BA289" i="10"/>
  <c r="Z289" i="10"/>
  <c r="C289" i="10"/>
  <c r="A289" i="10"/>
  <c r="BA288" i="10"/>
  <c r="Z288" i="10"/>
  <c r="C288" i="10"/>
  <c r="A288" i="10"/>
  <c r="BA287" i="10"/>
  <c r="Z287" i="10"/>
  <c r="C287" i="10"/>
  <c r="A287" i="10"/>
  <c r="BA286" i="10"/>
  <c r="Z286" i="10"/>
  <c r="C286" i="10"/>
  <c r="A286" i="10"/>
  <c r="BA285" i="10"/>
  <c r="Z285" i="10"/>
  <c r="C285" i="10"/>
  <c r="A285" i="10"/>
  <c r="BA284" i="10"/>
  <c r="Z284" i="10"/>
  <c r="C284" i="10"/>
  <c r="A284" i="10"/>
  <c r="BA283" i="10"/>
  <c r="Z283" i="10"/>
  <c r="C283" i="10"/>
  <c r="A283" i="10"/>
  <c r="BA282" i="10"/>
  <c r="Z282" i="10"/>
  <c r="C282" i="10"/>
  <c r="A282" i="10"/>
  <c r="BA281" i="10"/>
  <c r="Z281" i="10"/>
  <c r="C281" i="10"/>
  <c r="A281" i="10"/>
  <c r="BA280" i="10"/>
  <c r="Z280" i="10"/>
  <c r="C280" i="10"/>
  <c r="A280" i="10"/>
  <c r="BA279" i="10"/>
  <c r="Z279" i="10"/>
  <c r="C279" i="10"/>
  <c r="A279" i="10"/>
  <c r="BA278" i="10"/>
  <c r="Z278" i="10"/>
  <c r="C278" i="10"/>
  <c r="A278" i="10"/>
  <c r="BA277" i="10"/>
  <c r="Z277" i="10"/>
  <c r="C277" i="10"/>
  <c r="A277" i="10"/>
  <c r="BA276" i="10"/>
  <c r="Z276" i="10"/>
  <c r="C276" i="10"/>
  <c r="A276" i="10"/>
  <c r="BA275" i="10"/>
  <c r="Z275" i="10"/>
  <c r="C275" i="10"/>
  <c r="A275" i="10"/>
  <c r="BA274" i="10"/>
  <c r="Z274" i="10"/>
  <c r="C274" i="10"/>
  <c r="A274" i="10"/>
  <c r="BA273" i="10"/>
  <c r="Z273" i="10"/>
  <c r="C273" i="10"/>
  <c r="A273" i="10"/>
  <c r="BA272" i="10"/>
  <c r="Z272" i="10"/>
  <c r="C272" i="10"/>
  <c r="A272" i="10"/>
  <c r="BA271" i="10"/>
  <c r="Z271" i="10"/>
  <c r="C271" i="10"/>
  <c r="A271" i="10"/>
  <c r="BA270" i="10"/>
  <c r="Z270" i="10"/>
  <c r="C270" i="10"/>
  <c r="A270" i="10"/>
  <c r="BA269" i="10"/>
  <c r="Z269" i="10"/>
  <c r="C269" i="10"/>
  <c r="A269" i="10"/>
  <c r="BA268" i="10"/>
  <c r="Z268" i="10"/>
  <c r="C268" i="10"/>
  <c r="A268" i="10"/>
  <c r="BA267" i="10"/>
  <c r="Z267" i="10"/>
  <c r="C267" i="10"/>
  <c r="A267" i="10"/>
  <c r="BA266" i="10"/>
  <c r="Z266" i="10"/>
  <c r="C266" i="10"/>
  <c r="A266" i="10"/>
  <c r="BA265" i="10"/>
  <c r="Z265" i="10"/>
  <c r="C265" i="10"/>
  <c r="A265" i="10"/>
  <c r="BA264" i="10"/>
  <c r="Z264" i="10"/>
  <c r="C264" i="10"/>
  <c r="A264" i="10"/>
  <c r="BA263" i="10"/>
  <c r="Z263" i="10"/>
  <c r="C263" i="10"/>
  <c r="A263" i="10"/>
  <c r="BA262" i="10"/>
  <c r="Z262" i="10"/>
  <c r="C262" i="10"/>
  <c r="A262" i="10"/>
  <c r="BA261" i="10"/>
  <c r="Z261" i="10"/>
  <c r="C261" i="10"/>
  <c r="A261" i="10"/>
  <c r="BA260" i="10"/>
  <c r="Z260" i="10"/>
  <c r="C260" i="10"/>
  <c r="A260" i="10"/>
  <c r="BA259" i="10"/>
  <c r="Z259" i="10"/>
  <c r="C259" i="10"/>
  <c r="A259" i="10"/>
  <c r="BA258" i="10"/>
  <c r="Z258" i="10"/>
  <c r="C258" i="10"/>
  <c r="A258" i="10"/>
  <c r="BA257" i="10"/>
  <c r="Z257" i="10"/>
  <c r="C257" i="10"/>
  <c r="A257" i="10"/>
  <c r="BA256" i="10"/>
  <c r="Z256" i="10"/>
  <c r="C256" i="10"/>
  <c r="A256" i="10"/>
  <c r="BA255" i="10"/>
  <c r="Z255" i="10"/>
  <c r="C255" i="10"/>
  <c r="A255" i="10"/>
  <c r="BA254" i="10"/>
  <c r="Z254" i="10"/>
  <c r="C254" i="10"/>
  <c r="A254" i="10"/>
  <c r="BA253" i="10"/>
  <c r="Z253" i="10"/>
  <c r="C253" i="10"/>
  <c r="A253" i="10"/>
  <c r="BA252" i="10"/>
  <c r="Z252" i="10"/>
  <c r="C252" i="10"/>
  <c r="A252" i="10"/>
  <c r="BA251" i="10"/>
  <c r="Z251" i="10"/>
  <c r="C251" i="10"/>
  <c r="A251" i="10"/>
  <c r="BA250" i="10"/>
  <c r="Z250" i="10"/>
  <c r="C250" i="10"/>
  <c r="A250" i="10"/>
  <c r="BA249" i="10"/>
  <c r="Z249" i="10"/>
  <c r="C249" i="10"/>
  <c r="A249" i="10"/>
  <c r="BA248" i="10"/>
  <c r="Z248" i="10"/>
  <c r="C248" i="10"/>
  <c r="A248" i="10"/>
  <c r="BA247" i="10"/>
  <c r="Z247" i="10"/>
  <c r="C247" i="10"/>
  <c r="A247" i="10"/>
  <c r="BA246" i="10"/>
  <c r="Z246" i="10"/>
  <c r="C246" i="10"/>
  <c r="A246" i="10"/>
  <c r="BA245" i="10"/>
  <c r="Z245" i="10"/>
  <c r="C245" i="10"/>
  <c r="A245" i="10"/>
  <c r="BA244" i="10"/>
  <c r="Z244" i="10"/>
  <c r="C244" i="10"/>
  <c r="A244" i="10"/>
  <c r="BA243" i="10"/>
  <c r="Z243" i="10"/>
  <c r="C243" i="10"/>
  <c r="A243" i="10"/>
  <c r="BA242" i="10"/>
  <c r="Z242" i="10"/>
  <c r="C242" i="10"/>
  <c r="A242" i="10"/>
  <c r="BA241" i="10"/>
  <c r="Z241" i="10"/>
  <c r="C241" i="10"/>
  <c r="A241" i="10"/>
  <c r="BA240" i="10"/>
  <c r="Z240" i="10"/>
  <c r="C240" i="10"/>
  <c r="A240" i="10"/>
  <c r="BA239" i="10"/>
  <c r="Z239" i="10"/>
  <c r="C239" i="10"/>
  <c r="A239" i="10"/>
  <c r="BA238" i="10"/>
  <c r="Z238" i="10"/>
  <c r="C238" i="10"/>
  <c r="A238" i="10"/>
  <c r="BA237" i="10"/>
  <c r="Z237" i="10"/>
  <c r="C237" i="10"/>
  <c r="A237" i="10"/>
  <c r="BA236" i="10"/>
  <c r="Z236" i="10"/>
  <c r="C236" i="10"/>
  <c r="A236" i="10"/>
  <c r="BA235" i="10"/>
  <c r="Z235" i="10"/>
  <c r="C235" i="10"/>
  <c r="A235" i="10"/>
  <c r="BA234" i="10"/>
  <c r="Z234" i="10"/>
  <c r="C234" i="10"/>
  <c r="A234" i="10"/>
  <c r="BA233" i="10"/>
  <c r="Z233" i="10"/>
  <c r="C233" i="10"/>
  <c r="A233" i="10"/>
  <c r="BA232" i="10"/>
  <c r="Z232" i="10"/>
  <c r="C232" i="10"/>
  <c r="A232" i="10"/>
  <c r="BA231" i="10"/>
  <c r="Z231" i="10"/>
  <c r="C231" i="10"/>
  <c r="A231" i="10"/>
  <c r="BA230" i="10"/>
  <c r="Z230" i="10"/>
  <c r="C230" i="10"/>
  <c r="A230" i="10"/>
  <c r="BA229" i="10"/>
  <c r="Z229" i="10"/>
  <c r="C229" i="10"/>
  <c r="A229" i="10"/>
  <c r="BA228" i="10"/>
  <c r="Z228" i="10"/>
  <c r="C228" i="10"/>
  <c r="A228" i="10"/>
  <c r="BA227" i="10"/>
  <c r="Z227" i="10"/>
  <c r="C227" i="10"/>
  <c r="A227" i="10"/>
  <c r="BA226" i="10"/>
  <c r="Z226" i="10"/>
  <c r="C226" i="10"/>
  <c r="A226" i="10"/>
  <c r="BA225" i="10"/>
  <c r="Z225" i="10"/>
  <c r="C225" i="10"/>
  <c r="A225" i="10"/>
  <c r="BA224" i="10"/>
  <c r="Z224" i="10"/>
  <c r="C224" i="10"/>
  <c r="A224" i="10"/>
  <c r="BA223" i="10"/>
  <c r="Z223" i="10"/>
  <c r="C223" i="10"/>
  <c r="A223" i="10"/>
  <c r="BA222" i="10"/>
  <c r="Z222" i="10"/>
  <c r="C222" i="10"/>
  <c r="A222" i="10"/>
  <c r="BA221" i="10"/>
  <c r="Z221" i="10"/>
  <c r="C221" i="10"/>
  <c r="A221" i="10"/>
  <c r="BA220" i="10"/>
  <c r="Z220" i="10"/>
  <c r="C220" i="10"/>
  <c r="A220" i="10"/>
  <c r="BA219" i="10"/>
  <c r="Z219" i="10"/>
  <c r="C219" i="10"/>
  <c r="A219" i="10"/>
  <c r="BA218" i="10"/>
  <c r="Z218" i="10"/>
  <c r="C218" i="10"/>
  <c r="A218" i="10"/>
  <c r="BA217" i="10"/>
  <c r="Z217" i="10"/>
  <c r="C217" i="10"/>
  <c r="A217" i="10"/>
  <c r="BA216" i="10"/>
  <c r="Z216" i="10"/>
  <c r="C216" i="10"/>
  <c r="A216" i="10"/>
  <c r="BA215" i="10"/>
  <c r="Z215" i="10"/>
  <c r="C215" i="10"/>
  <c r="A215" i="10"/>
  <c r="BA214" i="10"/>
  <c r="Z214" i="10"/>
  <c r="C214" i="10"/>
  <c r="A214" i="10"/>
  <c r="BA213" i="10"/>
  <c r="Z213" i="10"/>
  <c r="C213" i="10"/>
  <c r="A213" i="10"/>
  <c r="BA212" i="10"/>
  <c r="Z212" i="10"/>
  <c r="C212" i="10"/>
  <c r="A212" i="10"/>
  <c r="BA211" i="10"/>
  <c r="Z211" i="10"/>
  <c r="C211" i="10"/>
  <c r="A211" i="10"/>
  <c r="BA210" i="10"/>
  <c r="Z210" i="10"/>
  <c r="C210" i="10"/>
  <c r="A210" i="10"/>
  <c r="BA209" i="10"/>
  <c r="Z209" i="10"/>
  <c r="C209" i="10"/>
  <c r="A209" i="10"/>
  <c r="BA208" i="10"/>
  <c r="Z208" i="10"/>
  <c r="C208" i="10"/>
  <c r="A208" i="10"/>
  <c r="BA207" i="10"/>
  <c r="Z207" i="10"/>
  <c r="C207" i="10"/>
  <c r="A207" i="10"/>
  <c r="BA206" i="10"/>
  <c r="Z206" i="10"/>
  <c r="C206" i="10"/>
  <c r="A206" i="10"/>
  <c r="BA205" i="10"/>
  <c r="Z205" i="10"/>
  <c r="C205" i="10"/>
  <c r="A205" i="10"/>
  <c r="BA204" i="10"/>
  <c r="Z204" i="10"/>
  <c r="C204" i="10"/>
  <c r="A204" i="10"/>
  <c r="BA203" i="10"/>
  <c r="Z203" i="10"/>
  <c r="C203" i="10"/>
  <c r="A203" i="10"/>
  <c r="BA202" i="10"/>
  <c r="Z202" i="10"/>
  <c r="C202" i="10"/>
  <c r="A202" i="10"/>
  <c r="BA201" i="10"/>
  <c r="Z201" i="10"/>
  <c r="C201" i="10"/>
  <c r="A201" i="10"/>
  <c r="BA200" i="10"/>
  <c r="Z200" i="10"/>
  <c r="C200" i="10"/>
  <c r="A200" i="10"/>
  <c r="BA199" i="10"/>
  <c r="Z199" i="10"/>
  <c r="C199" i="10"/>
  <c r="A199" i="10"/>
  <c r="BA198" i="10"/>
  <c r="Z198" i="10"/>
  <c r="C198" i="10"/>
  <c r="A198" i="10"/>
  <c r="BA197" i="10"/>
  <c r="Z197" i="10"/>
  <c r="C197" i="10"/>
  <c r="A197" i="10"/>
  <c r="BA196" i="10"/>
  <c r="Z196" i="10"/>
  <c r="C196" i="10"/>
  <c r="A196" i="10"/>
  <c r="BA195" i="10"/>
  <c r="Z195" i="10"/>
  <c r="C195" i="10"/>
  <c r="A195" i="10"/>
  <c r="BA194" i="10"/>
  <c r="Z194" i="10"/>
  <c r="C194" i="10"/>
  <c r="A194" i="10"/>
  <c r="BA193" i="10"/>
  <c r="Z193" i="10"/>
  <c r="C193" i="10"/>
  <c r="A193" i="10"/>
  <c r="BA192" i="10"/>
  <c r="Z192" i="10"/>
  <c r="C192" i="10"/>
  <c r="A192" i="10"/>
  <c r="BA191" i="10"/>
  <c r="Z191" i="10"/>
  <c r="C191" i="10"/>
  <c r="A191" i="10"/>
  <c r="BA190" i="10"/>
  <c r="Z190" i="10"/>
  <c r="C190" i="10"/>
  <c r="A190" i="10"/>
  <c r="BA189" i="10"/>
  <c r="Z189" i="10"/>
  <c r="C189" i="10"/>
  <c r="A189" i="10"/>
  <c r="BA188" i="10"/>
  <c r="Z188" i="10"/>
  <c r="C188" i="10"/>
  <c r="A188" i="10"/>
  <c r="BA187" i="10"/>
  <c r="Z187" i="10"/>
  <c r="C187" i="10"/>
  <c r="A187" i="10"/>
  <c r="BA186" i="10"/>
  <c r="Z186" i="10"/>
  <c r="C186" i="10"/>
  <c r="A186" i="10"/>
  <c r="BA185" i="10"/>
  <c r="Z185" i="10"/>
  <c r="C185" i="10"/>
  <c r="A185" i="10"/>
  <c r="BA184" i="10"/>
  <c r="Z184" i="10"/>
  <c r="C184" i="10"/>
  <c r="A184" i="10"/>
  <c r="BA183" i="10"/>
  <c r="Z183" i="10"/>
  <c r="C183" i="10"/>
  <c r="A183" i="10"/>
  <c r="BA182" i="10"/>
  <c r="Z182" i="10"/>
  <c r="C182" i="10"/>
  <c r="A182" i="10"/>
  <c r="BA181" i="10"/>
  <c r="Z181" i="10"/>
  <c r="C181" i="10"/>
  <c r="A181" i="10"/>
  <c r="BA180" i="10"/>
  <c r="Z180" i="10"/>
  <c r="C180" i="10"/>
  <c r="A180" i="10"/>
  <c r="BA179" i="10"/>
  <c r="Z179" i="10"/>
  <c r="C179" i="10"/>
  <c r="A179" i="10"/>
  <c r="BA178" i="10"/>
  <c r="Z178" i="10"/>
  <c r="C178" i="10"/>
  <c r="A178" i="10"/>
  <c r="BA177" i="10"/>
  <c r="Z177" i="10"/>
  <c r="C177" i="10"/>
  <c r="A177" i="10"/>
  <c r="BA176" i="10"/>
  <c r="Z176" i="10"/>
  <c r="C176" i="10"/>
  <c r="A176" i="10"/>
  <c r="BA175" i="10"/>
  <c r="Z175" i="10"/>
  <c r="C175" i="10"/>
  <c r="A175" i="10"/>
  <c r="BA174" i="10"/>
  <c r="Z174" i="10"/>
  <c r="C174" i="10"/>
  <c r="A174" i="10"/>
  <c r="BA173" i="10"/>
  <c r="Z173" i="10"/>
  <c r="C173" i="10"/>
  <c r="A173" i="10"/>
  <c r="BA172" i="10"/>
  <c r="Z172" i="10"/>
  <c r="C172" i="10"/>
  <c r="A172" i="10"/>
  <c r="BA171" i="10"/>
  <c r="Z171" i="10"/>
  <c r="C171" i="10"/>
  <c r="A171" i="10"/>
  <c r="BA170" i="10"/>
  <c r="Z170" i="10"/>
  <c r="C170" i="10"/>
  <c r="A170" i="10"/>
  <c r="BA169" i="10"/>
  <c r="Z169" i="10"/>
  <c r="C169" i="10"/>
  <c r="A169" i="10"/>
  <c r="BA168" i="10"/>
  <c r="Z168" i="10"/>
  <c r="C168" i="10"/>
  <c r="A168" i="10"/>
  <c r="BA167" i="10"/>
  <c r="Z167" i="10"/>
  <c r="C167" i="10"/>
  <c r="A167" i="10"/>
  <c r="BA166" i="10"/>
  <c r="Z166" i="10"/>
  <c r="C166" i="10"/>
  <c r="A166" i="10"/>
  <c r="BA165" i="10"/>
  <c r="Z165" i="10"/>
  <c r="C165" i="10"/>
  <c r="A165" i="10"/>
  <c r="BA164" i="10"/>
  <c r="Z164" i="10"/>
  <c r="C164" i="10"/>
  <c r="A164" i="10"/>
  <c r="BA163" i="10"/>
  <c r="Z163" i="10"/>
  <c r="C163" i="10"/>
  <c r="A163" i="10"/>
  <c r="BA162" i="10"/>
  <c r="Z162" i="10"/>
  <c r="C162" i="10"/>
  <c r="A162" i="10"/>
  <c r="BA161" i="10"/>
  <c r="Z161" i="10"/>
  <c r="C161" i="10"/>
  <c r="A161" i="10"/>
  <c r="BA160" i="10"/>
  <c r="Z160" i="10"/>
  <c r="C160" i="10"/>
  <c r="A160" i="10"/>
  <c r="BA159" i="10"/>
  <c r="Z159" i="10"/>
  <c r="C159" i="10"/>
  <c r="A159" i="10"/>
  <c r="BA158" i="10"/>
  <c r="Z158" i="10"/>
  <c r="C158" i="10"/>
  <c r="A158" i="10"/>
  <c r="BA157" i="10"/>
  <c r="Z157" i="10"/>
  <c r="C157" i="10"/>
  <c r="A157" i="10"/>
  <c r="BA156" i="10"/>
  <c r="Z156" i="10"/>
  <c r="C156" i="10"/>
  <c r="A156" i="10"/>
  <c r="BA155" i="10"/>
  <c r="Z155" i="10"/>
  <c r="C155" i="10"/>
  <c r="A155" i="10"/>
  <c r="BA154" i="10"/>
  <c r="Z154" i="10"/>
  <c r="C154" i="10"/>
  <c r="A154" i="10"/>
  <c r="BA153" i="10"/>
  <c r="Z153" i="10"/>
  <c r="C153" i="10"/>
  <c r="A153" i="10"/>
  <c r="BA152" i="10"/>
  <c r="Z152" i="10"/>
  <c r="C152" i="10"/>
  <c r="A152" i="10"/>
  <c r="BA151" i="10"/>
  <c r="Z151" i="10"/>
  <c r="C151" i="10"/>
  <c r="A151" i="10"/>
  <c r="BA150" i="10"/>
  <c r="Z150" i="10"/>
  <c r="C150" i="10"/>
  <c r="A150" i="10"/>
  <c r="BA149" i="10"/>
  <c r="Z149" i="10"/>
  <c r="C149" i="10"/>
  <c r="A149" i="10"/>
  <c r="BA148" i="10"/>
  <c r="Z148" i="10"/>
  <c r="C148" i="10"/>
  <c r="A148" i="10"/>
  <c r="BA147" i="10"/>
  <c r="Z147" i="10"/>
  <c r="C147" i="10"/>
  <c r="A147" i="10"/>
  <c r="BA146" i="10"/>
  <c r="Z146" i="10"/>
  <c r="C146" i="10"/>
  <c r="A146" i="10"/>
  <c r="BA145" i="10"/>
  <c r="Z145" i="10"/>
  <c r="C145" i="10"/>
  <c r="A145" i="10"/>
  <c r="BA144" i="10"/>
  <c r="Z144" i="10"/>
  <c r="C144" i="10"/>
  <c r="A144" i="10"/>
  <c r="BA143" i="10"/>
  <c r="Z143" i="10"/>
  <c r="C143" i="10"/>
  <c r="A143" i="10"/>
  <c r="BA142" i="10"/>
  <c r="Z142" i="10"/>
  <c r="C142" i="10"/>
  <c r="A142" i="10"/>
  <c r="BA141" i="10"/>
  <c r="Z141" i="10"/>
  <c r="C141" i="10"/>
  <c r="A141" i="10"/>
  <c r="BA140" i="10"/>
  <c r="Z140" i="10"/>
  <c r="C140" i="10"/>
  <c r="A140" i="10"/>
  <c r="BA139" i="10"/>
  <c r="Z139" i="10"/>
  <c r="C139" i="10"/>
  <c r="A139" i="10"/>
  <c r="BA138" i="10"/>
  <c r="Z138" i="10"/>
  <c r="C138" i="10"/>
  <c r="A138" i="10"/>
  <c r="BA137" i="10"/>
  <c r="Z137" i="10"/>
  <c r="C137" i="10"/>
  <c r="A137" i="10"/>
  <c r="BA136" i="10"/>
  <c r="BA135" i="10"/>
  <c r="BA134" i="10"/>
  <c r="BA133" i="10"/>
  <c r="BA132" i="10"/>
  <c r="BA131" i="10"/>
  <c r="BA130" i="10"/>
  <c r="BA129" i="10"/>
  <c r="BA128" i="10"/>
  <c r="BA127" i="10"/>
  <c r="BA126" i="10"/>
  <c r="BA125" i="10"/>
  <c r="BA124" i="10"/>
  <c r="BA123" i="10"/>
  <c r="BA122" i="10"/>
  <c r="BA121" i="10"/>
  <c r="BA120" i="10"/>
  <c r="BA119" i="10"/>
  <c r="BA118" i="10"/>
  <c r="BA117" i="10"/>
  <c r="BA116" i="10"/>
  <c r="BA115" i="10"/>
  <c r="BA114" i="10"/>
  <c r="BA113" i="10"/>
  <c r="BA112" i="10"/>
  <c r="BA111" i="10"/>
  <c r="BA110" i="10"/>
  <c r="BA109" i="10"/>
  <c r="BA108" i="10"/>
  <c r="BA107" i="10"/>
  <c r="BA106" i="10"/>
  <c r="BA105" i="10"/>
  <c r="BA104" i="10"/>
  <c r="BA103" i="10"/>
  <c r="BA102" i="10"/>
  <c r="BA101" i="10"/>
  <c r="BA100" i="10"/>
  <c r="BA99" i="10"/>
  <c r="BA98" i="10"/>
  <c r="BA97" i="10"/>
  <c r="BA96" i="10"/>
  <c r="BA92" i="10"/>
  <c r="BA91" i="10"/>
  <c r="BA90" i="10"/>
  <c r="BA89" i="10"/>
  <c r="BA88" i="10"/>
  <c r="BA87" i="10"/>
  <c r="BA86" i="10"/>
  <c r="BA85" i="10"/>
  <c r="BA84" i="10"/>
  <c r="BA83" i="10"/>
  <c r="BA82" i="10"/>
  <c r="BA81" i="10"/>
  <c r="BA80" i="10"/>
  <c r="BA79" i="10"/>
  <c r="BA78" i="10"/>
  <c r="BA77" i="10"/>
  <c r="BA76" i="10"/>
  <c r="BA75" i="10"/>
  <c r="BA74" i="10"/>
  <c r="BA73" i="10"/>
  <c r="BA72" i="10"/>
  <c r="BH2" i="5"/>
  <c r="BC3" i="5"/>
  <c r="BB3" i="5"/>
  <c r="BA3" i="5"/>
  <c r="V19" i="5"/>
  <c r="V18" i="5"/>
  <c r="V17" i="5"/>
  <c r="V16" i="5"/>
  <c r="V15" i="5"/>
  <c r="AN2" i="5"/>
  <c r="V600" i="5"/>
  <c r="V599" i="5"/>
  <c r="V598" i="5"/>
  <c r="V597" i="5"/>
  <c r="V596" i="5"/>
  <c r="V595" i="5"/>
  <c r="V594" i="5"/>
  <c r="V593" i="5"/>
  <c r="V592" i="5"/>
  <c r="V591" i="5"/>
  <c r="V590" i="5"/>
  <c r="V589" i="5"/>
  <c r="V588" i="5"/>
  <c r="V587" i="5"/>
  <c r="V586" i="5"/>
  <c r="V585" i="5"/>
  <c r="V584" i="5"/>
  <c r="V583" i="5"/>
  <c r="V582" i="5"/>
  <c r="V581" i="5"/>
  <c r="V580" i="5"/>
  <c r="V579" i="5"/>
  <c r="V578" i="5"/>
  <c r="V577" i="5"/>
  <c r="V576" i="5"/>
  <c r="V575" i="5"/>
  <c r="V574" i="5"/>
  <c r="V573" i="5"/>
  <c r="V572" i="5"/>
  <c r="V571" i="5"/>
  <c r="V570" i="5"/>
  <c r="V569" i="5"/>
  <c r="V568" i="5"/>
  <c r="V567" i="5"/>
  <c r="V566" i="5"/>
  <c r="V565" i="5"/>
  <c r="V564" i="5"/>
  <c r="V563" i="5"/>
  <c r="V562" i="5"/>
  <c r="V561" i="5"/>
  <c r="V560" i="5"/>
  <c r="V559" i="5"/>
  <c r="V558" i="5"/>
  <c r="V557" i="5"/>
  <c r="V556" i="5"/>
  <c r="V555" i="5"/>
  <c r="V554" i="5"/>
  <c r="V553" i="5"/>
  <c r="V552" i="5"/>
  <c r="V551" i="5"/>
  <c r="V550" i="5"/>
  <c r="V549" i="5"/>
  <c r="V548" i="5"/>
  <c r="V547" i="5"/>
  <c r="V546" i="5"/>
  <c r="V545" i="5"/>
  <c r="V544" i="5"/>
  <c r="V543" i="5"/>
  <c r="V542" i="5"/>
  <c r="V541" i="5"/>
  <c r="V540" i="5"/>
  <c r="V539" i="5"/>
  <c r="V538" i="5"/>
  <c r="V537" i="5"/>
  <c r="V536" i="5"/>
  <c r="V535" i="5"/>
  <c r="V534" i="5"/>
  <c r="V533" i="5"/>
  <c r="V532" i="5"/>
  <c r="V531" i="5"/>
  <c r="V530" i="5"/>
  <c r="V529" i="5"/>
  <c r="V528" i="5"/>
  <c r="V527" i="5"/>
  <c r="V526" i="5"/>
  <c r="V525" i="5"/>
  <c r="V524" i="5"/>
  <c r="V523" i="5"/>
  <c r="V522" i="5"/>
  <c r="V521" i="5"/>
  <c r="V520" i="5"/>
  <c r="V519" i="5"/>
  <c r="V518" i="5"/>
  <c r="V517" i="5"/>
  <c r="V516" i="5"/>
  <c r="V515" i="5"/>
  <c r="V514" i="5"/>
  <c r="V513" i="5"/>
  <c r="V512" i="5"/>
  <c r="V511" i="5"/>
  <c r="V510" i="5"/>
  <c r="V509" i="5"/>
  <c r="V508" i="5"/>
  <c r="V507" i="5"/>
  <c r="V506" i="5"/>
  <c r="V505" i="5"/>
  <c r="V504" i="5"/>
  <c r="V503" i="5"/>
  <c r="V502" i="5"/>
  <c r="V501" i="5"/>
  <c r="V500" i="5"/>
  <c r="V499" i="5"/>
  <c r="V498" i="5"/>
  <c r="V497" i="5"/>
  <c r="V496" i="5"/>
  <c r="V495" i="5"/>
  <c r="V494" i="5"/>
  <c r="V493" i="5"/>
  <c r="V492" i="5"/>
  <c r="V491" i="5"/>
  <c r="V490" i="5"/>
  <c r="V489" i="5"/>
  <c r="V488" i="5"/>
  <c r="V487" i="5"/>
  <c r="V486" i="5"/>
  <c r="V485" i="5"/>
  <c r="V484" i="5"/>
  <c r="V483" i="5"/>
  <c r="V482" i="5"/>
  <c r="V481" i="5"/>
  <c r="V480" i="5"/>
  <c r="V479" i="5"/>
  <c r="V478" i="5"/>
  <c r="V477" i="5"/>
  <c r="V476" i="5"/>
  <c r="V475" i="5"/>
  <c r="V474" i="5"/>
  <c r="V473" i="5"/>
  <c r="V472" i="5"/>
  <c r="V471" i="5"/>
  <c r="V470" i="5"/>
  <c r="V469" i="5"/>
  <c r="V468" i="5"/>
  <c r="V467" i="5"/>
  <c r="V466" i="5"/>
  <c r="V465" i="5"/>
  <c r="V464" i="5"/>
  <c r="V463" i="5"/>
  <c r="V462" i="5"/>
  <c r="V461" i="5"/>
  <c r="V460" i="5"/>
  <c r="V459" i="5"/>
  <c r="V458" i="5"/>
  <c r="V457" i="5"/>
  <c r="V456" i="5"/>
  <c r="V455" i="5"/>
  <c r="V454" i="5"/>
  <c r="V453" i="5"/>
  <c r="V452" i="5"/>
  <c r="V451" i="5"/>
  <c r="V450" i="5"/>
  <c r="V449" i="5"/>
  <c r="V448" i="5"/>
  <c r="V447" i="5"/>
  <c r="V446" i="5"/>
  <c r="V445" i="5"/>
  <c r="V444" i="5"/>
  <c r="V443" i="5"/>
  <c r="V442" i="5"/>
  <c r="V441" i="5"/>
  <c r="V440" i="5"/>
  <c r="V439" i="5"/>
  <c r="V438" i="5"/>
  <c r="V437" i="5"/>
  <c r="V436" i="5"/>
  <c r="V435" i="5"/>
  <c r="V434" i="5"/>
  <c r="V433" i="5"/>
  <c r="V432" i="5"/>
  <c r="V431" i="5"/>
  <c r="V430" i="5"/>
  <c r="V429" i="5"/>
  <c r="V428" i="5"/>
  <c r="V427" i="5"/>
  <c r="V426" i="5"/>
  <c r="V425" i="5"/>
  <c r="V424" i="5"/>
  <c r="V423" i="5"/>
  <c r="V422" i="5"/>
  <c r="V421" i="5"/>
  <c r="V420" i="5"/>
  <c r="V419" i="5"/>
  <c r="V418" i="5"/>
  <c r="V417" i="5"/>
  <c r="V416" i="5"/>
  <c r="V415" i="5"/>
  <c r="V414" i="5"/>
  <c r="V413" i="5"/>
  <c r="V412" i="5"/>
  <c r="V411" i="5"/>
  <c r="V410" i="5"/>
  <c r="V409" i="5"/>
  <c r="V408" i="5"/>
  <c r="V407" i="5"/>
  <c r="V406" i="5"/>
  <c r="V405" i="5"/>
  <c r="V404" i="5"/>
  <c r="V403" i="5"/>
  <c r="V402" i="5"/>
  <c r="V401" i="5"/>
  <c r="V400" i="5"/>
  <c r="V399" i="5"/>
  <c r="V398" i="5"/>
  <c r="V397" i="5"/>
  <c r="V396" i="5"/>
  <c r="V395" i="5"/>
  <c r="V394" i="5"/>
  <c r="V393" i="5"/>
  <c r="V392" i="5"/>
  <c r="V391" i="5"/>
  <c r="V390" i="5"/>
  <c r="V389" i="5"/>
  <c r="V388" i="5"/>
  <c r="V387" i="5"/>
  <c r="V386" i="5"/>
  <c r="V385" i="5"/>
  <c r="V384" i="5"/>
  <c r="V383" i="5"/>
  <c r="V382" i="5"/>
  <c r="V381" i="5"/>
  <c r="V380" i="5"/>
  <c r="V379" i="5"/>
  <c r="V378" i="5"/>
  <c r="V377" i="5"/>
  <c r="V376" i="5"/>
  <c r="V375" i="5"/>
  <c r="V374" i="5"/>
  <c r="V373" i="5"/>
  <c r="V372" i="5"/>
  <c r="V371" i="5"/>
  <c r="V370" i="5"/>
  <c r="V369" i="5"/>
  <c r="V368" i="5"/>
  <c r="V367" i="5"/>
  <c r="V366" i="5"/>
  <c r="V365" i="5"/>
  <c r="V364" i="5"/>
  <c r="V363" i="5"/>
  <c r="V362" i="5"/>
  <c r="V361" i="5"/>
  <c r="V360" i="5"/>
  <c r="V359" i="5"/>
  <c r="V358" i="5"/>
  <c r="V357" i="5"/>
  <c r="V356" i="5"/>
  <c r="V355" i="5"/>
  <c r="V354" i="5"/>
  <c r="V353" i="5"/>
  <c r="V352" i="5"/>
  <c r="V351" i="5"/>
  <c r="V350" i="5"/>
  <c r="V349" i="5"/>
  <c r="V348" i="5"/>
  <c r="V347" i="5"/>
  <c r="V346" i="5"/>
  <c r="V345" i="5"/>
  <c r="V344" i="5"/>
  <c r="V343" i="5"/>
  <c r="V342" i="5"/>
  <c r="V341" i="5"/>
  <c r="V340" i="5"/>
  <c r="V339" i="5"/>
  <c r="V338" i="5"/>
  <c r="V337" i="5"/>
  <c r="V336" i="5"/>
  <c r="V335" i="5"/>
  <c r="V334" i="5"/>
  <c r="V333" i="5"/>
  <c r="V332" i="5"/>
  <c r="V331" i="5"/>
  <c r="V330" i="5"/>
  <c r="V329" i="5"/>
  <c r="V328" i="5"/>
  <c r="V327" i="5"/>
  <c r="V326" i="5"/>
  <c r="V325" i="5"/>
  <c r="V324" i="5"/>
  <c r="V323" i="5"/>
  <c r="V322" i="5"/>
  <c r="V321" i="5"/>
  <c r="V320" i="5"/>
  <c r="V319" i="5"/>
  <c r="V318" i="5"/>
  <c r="V317" i="5"/>
  <c r="V316" i="5"/>
  <c r="V315" i="5"/>
  <c r="V314" i="5"/>
  <c r="V313" i="5"/>
  <c r="V312" i="5"/>
  <c r="V311" i="5"/>
  <c r="V310" i="5"/>
  <c r="V309" i="5"/>
  <c r="V308" i="5"/>
  <c r="V307" i="5"/>
  <c r="V306" i="5"/>
  <c r="V305" i="5"/>
  <c r="V304" i="5"/>
  <c r="V303" i="5"/>
  <c r="V302" i="5"/>
  <c r="V301" i="5"/>
  <c r="V300" i="5"/>
  <c r="V299" i="5"/>
  <c r="V298" i="5"/>
  <c r="V297" i="5"/>
  <c r="V296" i="5"/>
  <c r="V295" i="5"/>
  <c r="V294" i="5"/>
  <c r="V293" i="5"/>
  <c r="V292" i="5"/>
  <c r="V291" i="5"/>
  <c r="V290" i="5"/>
  <c r="V289" i="5"/>
  <c r="V288" i="5"/>
  <c r="V287" i="5"/>
  <c r="V286" i="5"/>
  <c r="V285" i="5"/>
  <c r="V284" i="5"/>
  <c r="V283" i="5"/>
  <c r="V282" i="5"/>
  <c r="V281" i="5"/>
  <c r="V280" i="5"/>
  <c r="V279" i="5"/>
  <c r="V278" i="5"/>
  <c r="V277" i="5"/>
  <c r="V276" i="5"/>
  <c r="V275" i="5"/>
  <c r="V274" i="5"/>
  <c r="V273" i="5"/>
  <c r="V272" i="5"/>
  <c r="V271" i="5"/>
  <c r="V270" i="5"/>
  <c r="V269" i="5"/>
  <c r="V268" i="5"/>
  <c r="V267" i="5"/>
  <c r="V266" i="5"/>
  <c r="V265" i="5"/>
  <c r="V264" i="5"/>
  <c r="V263" i="5"/>
  <c r="V262" i="5"/>
  <c r="V261" i="5"/>
  <c r="V260" i="5"/>
  <c r="V259" i="5"/>
  <c r="V258" i="5"/>
  <c r="V257" i="5"/>
  <c r="V256" i="5"/>
  <c r="V255" i="5"/>
  <c r="V254" i="5"/>
  <c r="V253" i="5"/>
  <c r="V252" i="5"/>
  <c r="V251" i="5"/>
  <c r="V250" i="5"/>
  <c r="V249" i="5"/>
  <c r="V248" i="5"/>
  <c r="V247" i="5"/>
  <c r="V246" i="5"/>
  <c r="V245" i="5"/>
  <c r="V244" i="5"/>
  <c r="V243" i="5"/>
  <c r="V242" i="5"/>
  <c r="V241" i="5"/>
  <c r="V240" i="5"/>
  <c r="V239" i="5"/>
  <c r="V238" i="5"/>
  <c r="V237" i="5"/>
  <c r="V236" i="5"/>
  <c r="V235" i="5"/>
  <c r="V234" i="5"/>
  <c r="V233" i="5"/>
  <c r="V232" i="5"/>
  <c r="V231" i="5"/>
  <c r="V230" i="5"/>
  <c r="V229" i="5"/>
  <c r="V228" i="5"/>
  <c r="V227" i="5"/>
  <c r="V226" i="5"/>
  <c r="V225" i="5"/>
  <c r="V224" i="5"/>
  <c r="V223" i="5"/>
  <c r="V222" i="5"/>
  <c r="V221" i="5"/>
  <c r="V220" i="5"/>
  <c r="V219" i="5"/>
  <c r="V218" i="5"/>
  <c r="V217" i="5"/>
  <c r="V216" i="5"/>
  <c r="V215" i="5"/>
  <c r="V214" i="5"/>
  <c r="V213" i="5"/>
  <c r="V212" i="5"/>
  <c r="V211" i="5"/>
  <c r="V210" i="5"/>
  <c r="V209" i="5"/>
  <c r="V208" i="5"/>
  <c r="V207" i="5"/>
  <c r="V206" i="5"/>
  <c r="V205" i="5"/>
  <c r="V204" i="5"/>
  <c r="V203" i="5"/>
  <c r="V202" i="5"/>
  <c r="V201" i="5"/>
  <c r="V200" i="5"/>
  <c r="V199" i="5"/>
  <c r="V198" i="5"/>
  <c r="V197" i="5"/>
  <c r="V196" i="5"/>
  <c r="V195" i="5"/>
  <c r="V194" i="5"/>
  <c r="V193" i="5"/>
  <c r="V192" i="5"/>
  <c r="V191" i="5"/>
  <c r="V190" i="5"/>
  <c r="V189" i="5"/>
  <c r="V188" i="5"/>
  <c r="V187" i="5"/>
  <c r="V186" i="5"/>
  <c r="V185" i="5"/>
  <c r="V184" i="5"/>
  <c r="V183" i="5"/>
  <c r="V182" i="5"/>
  <c r="V181" i="5"/>
  <c r="V180" i="5"/>
  <c r="V179" i="5"/>
  <c r="V178" i="5"/>
  <c r="V177" i="5"/>
  <c r="V176" i="5"/>
  <c r="V175" i="5"/>
  <c r="V174" i="5"/>
  <c r="V173" i="5"/>
  <c r="V172" i="5"/>
  <c r="V171" i="5"/>
  <c r="V170" i="5"/>
  <c r="V169" i="5"/>
  <c r="V168" i="5"/>
  <c r="V167" i="5"/>
  <c r="V166" i="5"/>
  <c r="V165" i="5"/>
  <c r="V164" i="5"/>
  <c r="V163" i="5"/>
  <c r="V162" i="5"/>
  <c r="V161" i="5"/>
  <c r="V160" i="5"/>
  <c r="V159" i="5"/>
  <c r="V158" i="5"/>
  <c r="V157" i="5"/>
  <c r="V156" i="5"/>
  <c r="V155" i="5"/>
  <c r="V154" i="5"/>
  <c r="V153" i="5"/>
  <c r="V152" i="5"/>
  <c r="V151" i="5"/>
  <c r="V150" i="5"/>
  <c r="V149" i="5"/>
  <c r="V148" i="5"/>
  <c r="V147" i="5"/>
  <c r="V146" i="5"/>
  <c r="V145" i="5"/>
  <c r="V144" i="5"/>
  <c r="V143" i="5"/>
  <c r="V142" i="5"/>
  <c r="V141" i="5"/>
  <c r="V140" i="5"/>
  <c r="V139" i="5"/>
  <c r="V138" i="5"/>
  <c r="V137" i="5"/>
  <c r="V136" i="5"/>
  <c r="V135" i="5"/>
  <c r="V134" i="5"/>
  <c r="V133" i="5"/>
  <c r="V132" i="5"/>
  <c r="V131" i="5"/>
  <c r="V130" i="5"/>
  <c r="V129" i="5"/>
  <c r="V128" i="5"/>
  <c r="V127" i="5"/>
  <c r="V126" i="5"/>
  <c r="V125" i="5"/>
  <c r="V124" i="5"/>
  <c r="V123" i="5"/>
  <c r="V122" i="5"/>
  <c r="V121" i="5"/>
  <c r="V120" i="5"/>
  <c r="V119" i="5"/>
  <c r="V118" i="5"/>
  <c r="V117" i="5"/>
  <c r="V116" i="5"/>
  <c r="V115" i="5"/>
  <c r="V114" i="5"/>
  <c r="V113" i="5"/>
  <c r="V112" i="5"/>
  <c r="V111" i="5"/>
  <c r="V110" i="5"/>
  <c r="V109" i="5"/>
  <c r="V108" i="5"/>
  <c r="V107" i="5"/>
  <c r="V106" i="5"/>
  <c r="V105" i="5"/>
  <c r="V104" i="5"/>
  <c r="V103" i="5"/>
  <c r="V102" i="5"/>
  <c r="V101" i="5"/>
  <c r="V100" i="5"/>
  <c r="V99" i="5"/>
  <c r="V98" i="5"/>
  <c r="V97" i="5"/>
  <c r="V96" i="5"/>
  <c r="V95" i="5"/>
  <c r="V94" i="5"/>
  <c r="V93" i="5"/>
  <c r="V92" i="5"/>
  <c r="V91" i="5"/>
  <c r="V90" i="5"/>
  <c r="V89" i="5"/>
  <c r="V88" i="5"/>
  <c r="V87" i="5"/>
  <c r="V86" i="5"/>
  <c r="V85" i="5"/>
  <c r="V84" i="5"/>
  <c r="V83" i="5"/>
  <c r="V82" i="5"/>
  <c r="V81" i="5"/>
  <c r="V80" i="5"/>
  <c r="V79" i="5"/>
  <c r="V78" i="5"/>
  <c r="V77" i="5"/>
  <c r="V76" i="5"/>
  <c r="V75" i="5"/>
  <c r="V74" i="5"/>
  <c r="V73" i="5"/>
  <c r="V72" i="5"/>
  <c r="V71" i="5"/>
  <c r="V70" i="5"/>
  <c r="V69" i="5"/>
  <c r="V68" i="5"/>
  <c r="V67" i="5"/>
  <c r="V66" i="5"/>
  <c r="V65" i="5"/>
  <c r="V64" i="5"/>
  <c r="V63" i="5"/>
  <c r="V62" i="5"/>
  <c r="V61" i="5"/>
  <c r="V60" i="5"/>
  <c r="V59" i="5"/>
  <c r="V58" i="5"/>
  <c r="V57" i="5"/>
  <c r="V56" i="5"/>
  <c r="V55" i="5"/>
  <c r="V54" i="5"/>
  <c r="V53" i="5"/>
  <c r="V52" i="5"/>
  <c r="V51" i="5"/>
  <c r="V50" i="5"/>
  <c r="V49" i="5"/>
  <c r="V48" i="5"/>
  <c r="V47" i="5"/>
  <c r="V46" i="5"/>
  <c r="V45" i="5"/>
  <c r="V44" i="5"/>
  <c r="V43" i="5"/>
  <c r="V42" i="5"/>
  <c r="V41" i="5"/>
  <c r="V40" i="5"/>
  <c r="V39" i="5"/>
  <c r="V38" i="5"/>
  <c r="V37" i="5"/>
  <c r="V36" i="5"/>
  <c r="V35" i="5"/>
  <c r="V34" i="5"/>
  <c r="V33" i="5"/>
  <c r="V32" i="5"/>
  <c r="V31" i="5"/>
  <c r="V30" i="5"/>
  <c r="V29" i="5"/>
  <c r="V28" i="5"/>
  <c r="V27" i="5"/>
  <c r="V26" i="5"/>
  <c r="V25" i="5"/>
  <c r="V24" i="5"/>
  <c r="V23" i="5"/>
  <c r="V22" i="5"/>
  <c r="V21" i="5"/>
  <c r="V20" i="5"/>
  <c r="V14" i="5"/>
  <c r="V13" i="5"/>
  <c r="V12" i="5"/>
  <c r="Y14" i="5" a="1"/>
  <c r="Y14" i="5"/>
  <c r="Y13" i="5" a="1"/>
  <c r="Y13" i="5"/>
  <c r="Y12" i="5" a="1"/>
  <c r="Y12" i="5"/>
  <c r="Y600" i="5" a="1"/>
  <c r="Y600" i="5"/>
  <c r="Y599" i="5" a="1"/>
  <c r="Y599" i="5"/>
  <c r="Y598" i="5" a="1"/>
  <c r="Y598" i="5"/>
  <c r="Y597" i="5" a="1"/>
  <c r="Y597" i="5"/>
  <c r="Y596" i="5" a="1"/>
  <c r="Y596" i="5"/>
  <c r="Y595" i="5" a="1"/>
  <c r="Y595" i="5"/>
  <c r="Y594" i="5" a="1"/>
  <c r="Y594" i="5"/>
  <c r="Y593" i="5" a="1"/>
  <c r="Y593" i="5"/>
  <c r="Y592" i="5" a="1"/>
  <c r="Y592" i="5"/>
  <c r="Y591" i="5" a="1"/>
  <c r="Y591" i="5"/>
  <c r="Y590" i="5" a="1"/>
  <c r="Y590" i="5"/>
  <c r="Y589" i="5" a="1"/>
  <c r="Y589" i="5"/>
  <c r="Y588" i="5" a="1"/>
  <c r="Y588" i="5"/>
  <c r="Y587" i="5" a="1"/>
  <c r="Y587" i="5"/>
  <c r="Y586" i="5" a="1"/>
  <c r="Y586" i="5"/>
  <c r="Y585" i="5" a="1"/>
  <c r="Y585" i="5"/>
  <c r="Y584" i="5" a="1"/>
  <c r="Y584" i="5"/>
  <c r="Y583" i="5" a="1"/>
  <c r="Y583" i="5"/>
  <c r="Y582" i="5" a="1"/>
  <c r="Y582" i="5"/>
  <c r="Y581" i="5" a="1"/>
  <c r="Y581" i="5"/>
  <c r="Y580" i="5" a="1"/>
  <c r="Y580" i="5"/>
  <c r="Y579" i="5" a="1"/>
  <c r="Y579" i="5"/>
  <c r="Y578" i="5" a="1"/>
  <c r="Y578" i="5"/>
  <c r="Y577" i="5" a="1"/>
  <c r="Y577" i="5"/>
  <c r="Y576" i="5" a="1"/>
  <c r="Y576" i="5"/>
  <c r="Y575" i="5" a="1"/>
  <c r="Y575" i="5"/>
  <c r="Y574" i="5" a="1"/>
  <c r="Y574" i="5"/>
  <c r="Y573" i="5" a="1"/>
  <c r="Y573" i="5"/>
  <c r="Y572" i="5" a="1"/>
  <c r="Y572" i="5"/>
  <c r="Y571" i="5" a="1"/>
  <c r="Y571" i="5"/>
  <c r="Y570" i="5" a="1"/>
  <c r="Y570" i="5"/>
  <c r="Y569" i="5" a="1"/>
  <c r="Y569" i="5"/>
  <c r="Y568" i="5" a="1"/>
  <c r="Y568" i="5"/>
  <c r="Y567" i="5" a="1"/>
  <c r="Y567" i="5"/>
  <c r="Y566" i="5" a="1"/>
  <c r="Y566" i="5"/>
  <c r="Y565" i="5" a="1"/>
  <c r="Y565" i="5"/>
  <c r="Y564" i="5" a="1"/>
  <c r="Y564" i="5"/>
  <c r="Y563" i="5" a="1"/>
  <c r="Y563" i="5"/>
  <c r="Y562" i="5" a="1"/>
  <c r="Y562" i="5"/>
  <c r="Y561" i="5" a="1"/>
  <c r="Y561" i="5"/>
  <c r="Y560" i="5" a="1"/>
  <c r="Y560" i="5"/>
  <c r="Y559" i="5" a="1"/>
  <c r="Y559" i="5"/>
  <c r="Y558" i="5" a="1"/>
  <c r="Y558" i="5"/>
  <c r="Y557" i="5" a="1"/>
  <c r="Y557" i="5"/>
  <c r="Y556" i="5" a="1"/>
  <c r="Y556" i="5"/>
  <c r="Y555" i="5" a="1"/>
  <c r="Y555" i="5"/>
  <c r="Y554" i="5" a="1"/>
  <c r="Y554" i="5"/>
  <c r="Y553" i="5" a="1"/>
  <c r="Y553" i="5"/>
  <c r="Y552" i="5" a="1"/>
  <c r="Y552" i="5"/>
  <c r="Y551" i="5" a="1"/>
  <c r="Y551" i="5"/>
  <c r="Y550" i="5" a="1"/>
  <c r="Y550" i="5"/>
  <c r="Y549" i="5" a="1"/>
  <c r="Y549" i="5"/>
  <c r="Y548" i="5" a="1"/>
  <c r="Y548" i="5"/>
  <c r="Y547" i="5" a="1"/>
  <c r="Y547" i="5"/>
  <c r="Y546" i="5" a="1"/>
  <c r="Y546" i="5"/>
  <c r="Y545" i="5" a="1"/>
  <c r="Y545" i="5"/>
  <c r="Y544" i="5" a="1"/>
  <c r="Y544" i="5"/>
  <c r="Y543" i="5" a="1"/>
  <c r="Y543" i="5"/>
  <c r="Y542" i="5" a="1"/>
  <c r="Y542" i="5"/>
  <c r="Y541" i="5" a="1"/>
  <c r="Y541" i="5"/>
  <c r="Y540" i="5" a="1"/>
  <c r="Y540" i="5"/>
  <c r="Y539" i="5" a="1"/>
  <c r="Y539" i="5"/>
  <c r="Y538" i="5" a="1"/>
  <c r="Y538" i="5"/>
  <c r="Y537" i="5" a="1"/>
  <c r="Y537" i="5"/>
  <c r="Y536" i="5" a="1"/>
  <c r="Y536" i="5"/>
  <c r="Y535" i="5" a="1"/>
  <c r="Y535" i="5"/>
  <c r="Y534" i="5" a="1"/>
  <c r="Y534" i="5"/>
  <c r="Y533" i="5" a="1"/>
  <c r="Y533" i="5"/>
  <c r="Y532" i="5" a="1"/>
  <c r="Y532" i="5"/>
  <c r="Y531" i="5" a="1"/>
  <c r="Y531" i="5"/>
  <c r="Y530" i="5" a="1"/>
  <c r="Y530" i="5"/>
  <c r="Y529" i="5" a="1"/>
  <c r="Y529" i="5"/>
  <c r="Y528" i="5" a="1"/>
  <c r="Y528" i="5"/>
  <c r="Y527" i="5" a="1"/>
  <c r="Y527" i="5"/>
  <c r="Y526" i="5" a="1"/>
  <c r="Y526" i="5"/>
  <c r="Y525" i="5" a="1"/>
  <c r="Y525" i="5"/>
  <c r="Y524" i="5" a="1"/>
  <c r="Y524" i="5"/>
  <c r="Y523" i="5" a="1"/>
  <c r="Y523" i="5"/>
  <c r="Y522" i="5" a="1"/>
  <c r="Y522" i="5"/>
  <c r="Y521" i="5" a="1"/>
  <c r="Y521" i="5"/>
  <c r="Y520" i="5" a="1"/>
  <c r="Y520" i="5"/>
  <c r="Y519" i="5" a="1"/>
  <c r="Y519" i="5"/>
  <c r="Y518" i="5" a="1"/>
  <c r="Y518" i="5"/>
  <c r="Y517" i="5" a="1"/>
  <c r="Y517" i="5"/>
  <c r="Y516" i="5" a="1"/>
  <c r="Y516" i="5"/>
  <c r="Y515" i="5" a="1"/>
  <c r="Y515" i="5"/>
  <c r="Y514" i="5" a="1"/>
  <c r="Y514" i="5"/>
  <c r="Y513" i="5" a="1"/>
  <c r="Y513" i="5"/>
  <c r="Y512" i="5" a="1"/>
  <c r="Y512" i="5"/>
  <c r="Y511" i="5" a="1"/>
  <c r="Y511" i="5"/>
  <c r="Y510" i="5" a="1"/>
  <c r="Y510" i="5"/>
  <c r="Y509" i="5" a="1"/>
  <c r="Y509" i="5"/>
  <c r="Y508" i="5" a="1"/>
  <c r="Y508" i="5"/>
  <c r="Y507" i="5" a="1"/>
  <c r="Y507" i="5"/>
  <c r="Y506" i="5" a="1"/>
  <c r="Y506" i="5"/>
  <c r="Y505" i="5" a="1"/>
  <c r="Y505" i="5"/>
  <c r="Y504" i="5" a="1"/>
  <c r="Y504" i="5"/>
  <c r="Y503" i="5" a="1"/>
  <c r="Y503" i="5"/>
  <c r="Y502" i="5" a="1"/>
  <c r="Y502" i="5"/>
  <c r="Y501" i="5" a="1"/>
  <c r="Y501" i="5"/>
  <c r="Y500" i="5" a="1"/>
  <c r="Y500" i="5"/>
  <c r="Y499" i="5" a="1"/>
  <c r="Y499" i="5"/>
  <c r="Y498" i="5" a="1"/>
  <c r="Y498" i="5"/>
  <c r="Y497" i="5" a="1"/>
  <c r="Y497" i="5"/>
  <c r="Y496" i="5" a="1"/>
  <c r="Y496" i="5"/>
  <c r="Y495" i="5" a="1"/>
  <c r="Y495" i="5"/>
  <c r="Y494" i="5" a="1"/>
  <c r="Y494" i="5"/>
  <c r="Y493" i="5" a="1"/>
  <c r="Y493" i="5"/>
  <c r="Y492" i="5" a="1"/>
  <c r="Y492" i="5"/>
  <c r="Y491" i="5" a="1"/>
  <c r="Y491" i="5"/>
  <c r="Y490" i="5" a="1"/>
  <c r="Y490" i="5"/>
  <c r="Y489" i="5" a="1"/>
  <c r="Y489" i="5"/>
  <c r="Y488" i="5" a="1"/>
  <c r="Y488" i="5"/>
  <c r="Y487" i="5" a="1"/>
  <c r="Y487" i="5"/>
  <c r="Y486" i="5" a="1"/>
  <c r="Y486" i="5"/>
  <c r="Y485" i="5" a="1"/>
  <c r="Y485" i="5"/>
  <c r="Y484" i="5" a="1"/>
  <c r="Y484" i="5"/>
  <c r="Y483" i="5" a="1"/>
  <c r="Y483" i="5"/>
  <c r="Y482" i="5" a="1"/>
  <c r="Y482" i="5"/>
  <c r="Y481" i="5" a="1"/>
  <c r="Y481" i="5"/>
  <c r="Y480" i="5" a="1"/>
  <c r="Y480" i="5"/>
  <c r="Y479" i="5" a="1"/>
  <c r="Y479" i="5"/>
  <c r="Y478" i="5" a="1"/>
  <c r="Y478" i="5"/>
  <c r="Y477" i="5" a="1"/>
  <c r="Y477" i="5"/>
  <c r="Y476" i="5" a="1"/>
  <c r="Y476" i="5"/>
  <c r="Y475" i="5" a="1"/>
  <c r="Y475" i="5"/>
  <c r="Y474" i="5" a="1"/>
  <c r="Y474" i="5"/>
  <c r="Y473" i="5" a="1"/>
  <c r="Y473" i="5"/>
  <c r="Y472" i="5" a="1"/>
  <c r="Y472" i="5"/>
  <c r="Y471" i="5" a="1"/>
  <c r="Y471" i="5"/>
  <c r="Y470" i="5" a="1"/>
  <c r="Y470" i="5"/>
  <c r="Y469" i="5" a="1"/>
  <c r="Y469" i="5"/>
  <c r="Y468" i="5" a="1"/>
  <c r="Y468" i="5"/>
  <c r="Y467" i="5" a="1"/>
  <c r="Y467" i="5"/>
  <c r="Y466" i="5" a="1"/>
  <c r="Y466" i="5"/>
  <c r="Y465" i="5" a="1"/>
  <c r="Y465" i="5"/>
  <c r="Y464" i="5" a="1"/>
  <c r="Y464" i="5"/>
  <c r="Y463" i="5" a="1"/>
  <c r="Y463" i="5"/>
  <c r="Y462" i="5" a="1"/>
  <c r="Y462" i="5"/>
  <c r="Y461" i="5" a="1"/>
  <c r="Y461" i="5"/>
  <c r="Y460" i="5" a="1"/>
  <c r="Y460" i="5"/>
  <c r="Y459" i="5" a="1"/>
  <c r="Y459" i="5"/>
  <c r="Y458" i="5" a="1"/>
  <c r="Y458" i="5"/>
  <c r="Y457" i="5" a="1"/>
  <c r="Y457" i="5"/>
  <c r="Y456" i="5" a="1"/>
  <c r="Y456" i="5"/>
  <c r="Y455" i="5" a="1"/>
  <c r="Y455" i="5"/>
  <c r="Y454" i="5" a="1"/>
  <c r="Y454" i="5"/>
  <c r="Y453" i="5" a="1"/>
  <c r="Y453" i="5"/>
  <c r="Y452" i="5" a="1"/>
  <c r="Y452" i="5"/>
  <c r="Y451" i="5" a="1"/>
  <c r="Y451" i="5"/>
  <c r="Y450" i="5" a="1"/>
  <c r="Y450" i="5"/>
  <c r="Y449" i="5" a="1"/>
  <c r="Y449" i="5"/>
  <c r="Y448" i="5" a="1"/>
  <c r="Y448" i="5"/>
  <c r="Y447" i="5" a="1"/>
  <c r="Y447" i="5"/>
  <c r="Y446" i="5" a="1"/>
  <c r="Y446" i="5"/>
  <c r="Y445" i="5" a="1"/>
  <c r="Y445" i="5"/>
  <c r="Y444" i="5" a="1"/>
  <c r="Y444" i="5"/>
  <c r="Y443" i="5" a="1"/>
  <c r="Y443" i="5"/>
  <c r="Y442" i="5" a="1"/>
  <c r="Y442" i="5"/>
  <c r="Y441" i="5" a="1"/>
  <c r="Y441" i="5"/>
  <c r="Y440" i="5" a="1"/>
  <c r="Y440" i="5"/>
  <c r="Y439" i="5" a="1"/>
  <c r="Y439" i="5"/>
  <c r="Y438" i="5" a="1"/>
  <c r="Y438" i="5"/>
  <c r="Y437" i="5" a="1"/>
  <c r="Y437" i="5"/>
  <c r="Y436" i="5" a="1"/>
  <c r="Y436" i="5"/>
  <c r="Y435" i="5" a="1"/>
  <c r="Y435" i="5"/>
  <c r="Y434" i="5" a="1"/>
  <c r="Y434" i="5"/>
  <c r="Y433" i="5" a="1"/>
  <c r="Y433" i="5"/>
  <c r="Y432" i="5" a="1"/>
  <c r="Y432" i="5"/>
  <c r="Y431" i="5" a="1"/>
  <c r="Y431" i="5"/>
  <c r="Y430" i="5" a="1"/>
  <c r="Y430" i="5"/>
  <c r="Y429" i="5" a="1"/>
  <c r="Y429" i="5"/>
  <c r="Y428" i="5" a="1"/>
  <c r="Y428" i="5"/>
  <c r="Y427" i="5" a="1"/>
  <c r="Y427" i="5"/>
  <c r="Y426" i="5" a="1"/>
  <c r="Y426" i="5"/>
  <c r="Y425" i="5" a="1"/>
  <c r="Y425" i="5"/>
  <c r="Y424" i="5" a="1"/>
  <c r="Y424" i="5"/>
  <c r="Y423" i="5" a="1"/>
  <c r="Y423" i="5"/>
  <c r="Y422" i="5" a="1"/>
  <c r="Y422" i="5"/>
  <c r="Y421" i="5" a="1"/>
  <c r="Y421" i="5"/>
  <c r="Y420" i="5" a="1"/>
  <c r="Y420" i="5"/>
  <c r="Y419" i="5" a="1"/>
  <c r="Y419" i="5"/>
  <c r="Y418" i="5" a="1"/>
  <c r="Y418" i="5"/>
  <c r="Y417" i="5" a="1"/>
  <c r="Y417" i="5"/>
  <c r="Y416" i="5" a="1"/>
  <c r="Y416" i="5"/>
  <c r="Y415" i="5" a="1"/>
  <c r="Y415" i="5"/>
  <c r="Y414" i="5" a="1"/>
  <c r="Y414" i="5"/>
  <c r="Y413" i="5" a="1"/>
  <c r="Y413" i="5"/>
  <c r="Y412" i="5" a="1"/>
  <c r="Y412" i="5"/>
  <c r="Y411" i="5" a="1"/>
  <c r="Y411" i="5"/>
  <c r="Y410" i="5" a="1"/>
  <c r="Y410" i="5"/>
  <c r="Y409" i="5" a="1"/>
  <c r="Y409" i="5"/>
  <c r="Y408" i="5" a="1"/>
  <c r="Y408" i="5"/>
  <c r="Y407" i="5" a="1"/>
  <c r="Y407" i="5"/>
  <c r="Y406" i="5" a="1"/>
  <c r="Y406" i="5"/>
  <c r="Y405" i="5" a="1"/>
  <c r="Y405" i="5"/>
  <c r="Y404" i="5" a="1"/>
  <c r="Y404" i="5"/>
  <c r="Y403" i="5" a="1"/>
  <c r="Y403" i="5"/>
  <c r="Y402" i="5" a="1"/>
  <c r="Y402" i="5"/>
  <c r="Y401" i="5" a="1"/>
  <c r="Y401" i="5"/>
  <c r="Y400" i="5" a="1"/>
  <c r="Y400" i="5"/>
  <c r="Y399" i="5" a="1"/>
  <c r="Y399" i="5"/>
  <c r="Y398" i="5" a="1"/>
  <c r="Y398" i="5"/>
  <c r="Y397" i="5" a="1"/>
  <c r="Y397" i="5"/>
  <c r="Y396" i="5" a="1"/>
  <c r="Y396" i="5"/>
  <c r="Y395" i="5" a="1"/>
  <c r="Y395" i="5"/>
  <c r="Y394" i="5" a="1"/>
  <c r="Y394" i="5"/>
  <c r="Y393" i="5" a="1"/>
  <c r="Y393" i="5"/>
  <c r="Y392" i="5" a="1"/>
  <c r="Y392" i="5"/>
  <c r="Y391" i="5" a="1"/>
  <c r="Y391" i="5"/>
  <c r="Y390" i="5" a="1"/>
  <c r="Y390" i="5"/>
  <c r="Y389" i="5" a="1"/>
  <c r="Y389" i="5"/>
  <c r="Y388" i="5" a="1"/>
  <c r="Y388" i="5"/>
  <c r="Y387" i="5" a="1"/>
  <c r="Y387" i="5"/>
  <c r="Y386" i="5" a="1"/>
  <c r="Y386" i="5"/>
  <c r="Y385" i="5" a="1"/>
  <c r="Y385" i="5"/>
  <c r="Y384" i="5" a="1"/>
  <c r="Y384" i="5"/>
  <c r="Y383" i="5" a="1"/>
  <c r="Y383" i="5"/>
  <c r="Y382" i="5" a="1"/>
  <c r="Y382" i="5"/>
  <c r="Y381" i="5" a="1"/>
  <c r="Y381" i="5"/>
  <c r="Y380" i="5" a="1"/>
  <c r="Y380" i="5"/>
  <c r="Y379" i="5" a="1"/>
  <c r="Y379" i="5"/>
  <c r="Y378" i="5" a="1"/>
  <c r="Y378" i="5"/>
  <c r="Y377" i="5" a="1"/>
  <c r="Y377" i="5"/>
  <c r="Y376" i="5" a="1"/>
  <c r="Y376" i="5"/>
  <c r="Y375" i="5" a="1"/>
  <c r="Y375" i="5"/>
  <c r="Y374" i="5" a="1"/>
  <c r="Y374" i="5"/>
  <c r="Y373" i="5" a="1"/>
  <c r="Y373" i="5"/>
  <c r="Y372" i="5" a="1"/>
  <c r="Y372" i="5"/>
  <c r="Y371" i="5" a="1"/>
  <c r="Y371" i="5"/>
  <c r="Y370" i="5" a="1"/>
  <c r="Y370" i="5"/>
  <c r="Y369" i="5" a="1"/>
  <c r="Y369" i="5"/>
  <c r="Y368" i="5" a="1"/>
  <c r="Y368" i="5"/>
  <c r="Y367" i="5" a="1"/>
  <c r="Y367" i="5"/>
  <c r="Y366" i="5" a="1"/>
  <c r="Y366" i="5"/>
  <c r="Y365" i="5" a="1"/>
  <c r="Y365" i="5"/>
  <c r="Y364" i="5" a="1"/>
  <c r="Y364" i="5"/>
  <c r="Y363" i="5" a="1"/>
  <c r="Y363" i="5"/>
  <c r="Y362" i="5" a="1"/>
  <c r="Y362" i="5"/>
  <c r="Y361" i="5" a="1"/>
  <c r="Y361" i="5"/>
  <c r="Y360" i="5" a="1"/>
  <c r="Y360" i="5"/>
  <c r="Y359" i="5" a="1"/>
  <c r="Y359" i="5"/>
  <c r="Y358" i="5" a="1"/>
  <c r="Y358" i="5"/>
  <c r="Y357" i="5" a="1"/>
  <c r="Y357" i="5"/>
  <c r="Y356" i="5" a="1"/>
  <c r="Y356" i="5"/>
  <c r="Y355" i="5" a="1"/>
  <c r="Y355" i="5"/>
  <c r="Y354" i="5" a="1"/>
  <c r="Y354" i="5"/>
  <c r="Y353" i="5" a="1"/>
  <c r="Y353" i="5"/>
  <c r="Y352" i="5" a="1"/>
  <c r="Y352" i="5"/>
  <c r="Y351" i="5" a="1"/>
  <c r="Y351" i="5"/>
  <c r="Y350" i="5" a="1"/>
  <c r="Y350" i="5"/>
  <c r="Y349" i="5" a="1"/>
  <c r="Y349" i="5"/>
  <c r="Y348" i="5" a="1"/>
  <c r="Y348" i="5"/>
  <c r="Y347" i="5" a="1"/>
  <c r="Y347" i="5"/>
  <c r="Y346" i="5" a="1"/>
  <c r="Y346" i="5"/>
  <c r="Y345" i="5" a="1"/>
  <c r="Y345" i="5"/>
  <c r="Y344" i="5" a="1"/>
  <c r="Y344" i="5"/>
  <c r="Y343" i="5" a="1"/>
  <c r="Y343" i="5"/>
  <c r="Y342" i="5" a="1"/>
  <c r="Y342" i="5"/>
  <c r="Y341" i="5" a="1"/>
  <c r="Y341" i="5"/>
  <c r="Y340" i="5" a="1"/>
  <c r="Y340" i="5"/>
  <c r="Y339" i="5" a="1"/>
  <c r="Y339" i="5"/>
  <c r="Y338" i="5" a="1"/>
  <c r="Y338" i="5"/>
  <c r="Y337" i="5" a="1"/>
  <c r="Y337" i="5"/>
  <c r="Y336" i="5" a="1"/>
  <c r="Y336" i="5"/>
  <c r="Y335" i="5" a="1"/>
  <c r="Y335" i="5"/>
  <c r="Y334" i="5" a="1"/>
  <c r="Y334" i="5"/>
  <c r="Y333" i="5" a="1"/>
  <c r="Y333" i="5"/>
  <c r="Y332" i="5" a="1"/>
  <c r="Y332" i="5"/>
  <c r="Y331" i="5" a="1"/>
  <c r="Y331" i="5"/>
  <c r="Y330" i="5" a="1"/>
  <c r="Y330" i="5"/>
  <c r="Y329" i="5" a="1"/>
  <c r="Y329" i="5"/>
  <c r="Y328" i="5" a="1"/>
  <c r="Y328" i="5"/>
  <c r="Y327" i="5" a="1"/>
  <c r="Y327" i="5"/>
  <c r="Y326" i="5" a="1"/>
  <c r="Y326" i="5"/>
  <c r="Y325" i="5" a="1"/>
  <c r="Y325" i="5"/>
  <c r="Y324" i="5" a="1"/>
  <c r="Y324" i="5"/>
  <c r="Y323" i="5" a="1"/>
  <c r="Y323" i="5"/>
  <c r="Y322" i="5" a="1"/>
  <c r="Y322" i="5"/>
  <c r="Y321" i="5" a="1"/>
  <c r="Y321" i="5"/>
  <c r="Y320" i="5" a="1"/>
  <c r="Y320" i="5"/>
  <c r="Y319" i="5" a="1"/>
  <c r="Y319" i="5"/>
  <c r="Y318" i="5" a="1"/>
  <c r="Y318" i="5"/>
  <c r="Y317" i="5" a="1"/>
  <c r="Y317" i="5"/>
  <c r="Y316" i="5" a="1"/>
  <c r="Y316" i="5"/>
  <c r="Y315" i="5" a="1"/>
  <c r="Y315" i="5"/>
  <c r="Y314" i="5" a="1"/>
  <c r="Y314" i="5"/>
  <c r="Y313" i="5" a="1"/>
  <c r="Y313" i="5"/>
  <c r="Y312" i="5" a="1"/>
  <c r="Y312" i="5"/>
  <c r="Y311" i="5" a="1"/>
  <c r="Y311" i="5"/>
  <c r="Y310" i="5" a="1"/>
  <c r="Y310" i="5"/>
  <c r="Y309" i="5" a="1"/>
  <c r="Y309" i="5"/>
  <c r="Y308" i="5" a="1"/>
  <c r="Y308" i="5"/>
  <c r="Y307" i="5" a="1"/>
  <c r="Y307" i="5"/>
  <c r="Y306" i="5" a="1"/>
  <c r="Y306" i="5"/>
  <c r="Y305" i="5" a="1"/>
  <c r="Y305" i="5"/>
  <c r="Y304" i="5" a="1"/>
  <c r="Y304" i="5"/>
  <c r="Y303" i="5" a="1"/>
  <c r="Y303" i="5"/>
  <c r="Y302" i="5" a="1"/>
  <c r="Y302" i="5"/>
  <c r="Y301" i="5" a="1"/>
  <c r="Y301" i="5"/>
  <c r="Y300" i="5" a="1"/>
  <c r="Y300" i="5"/>
  <c r="Y299" i="5" a="1"/>
  <c r="Y299" i="5"/>
  <c r="Y298" i="5" a="1"/>
  <c r="Y298" i="5"/>
  <c r="Y297" i="5" a="1"/>
  <c r="Y297" i="5"/>
  <c r="Y296" i="5" a="1"/>
  <c r="Y296" i="5"/>
  <c r="Y295" i="5" a="1"/>
  <c r="Y295" i="5"/>
  <c r="Y294" i="5" a="1"/>
  <c r="Y294" i="5"/>
  <c r="Y293" i="5" a="1"/>
  <c r="Y293" i="5"/>
  <c r="Y292" i="5" a="1"/>
  <c r="Y292" i="5"/>
  <c r="Y291" i="5" a="1"/>
  <c r="Y291" i="5"/>
  <c r="Y290" i="5" a="1"/>
  <c r="Y290" i="5"/>
  <c r="Y289" i="5" a="1"/>
  <c r="Y289" i="5"/>
  <c r="Y288" i="5" a="1"/>
  <c r="Y288" i="5"/>
  <c r="Y287" i="5" a="1"/>
  <c r="Y287" i="5"/>
  <c r="Y286" i="5" a="1"/>
  <c r="Y286" i="5"/>
  <c r="Y285" i="5" a="1"/>
  <c r="Y285" i="5"/>
  <c r="Y284" i="5" a="1"/>
  <c r="Y284" i="5"/>
  <c r="Y283" i="5" a="1"/>
  <c r="Y283" i="5"/>
  <c r="Y282" i="5" a="1"/>
  <c r="Y282" i="5"/>
  <c r="Y281" i="5" a="1"/>
  <c r="Y281" i="5"/>
  <c r="Y280" i="5" a="1"/>
  <c r="Y280" i="5"/>
  <c r="Y279" i="5" a="1"/>
  <c r="Y279" i="5"/>
  <c r="Y278" i="5" a="1"/>
  <c r="Y278" i="5"/>
  <c r="Y277" i="5" a="1"/>
  <c r="Y277" i="5"/>
  <c r="Y276" i="5" a="1"/>
  <c r="Y276" i="5"/>
  <c r="Y275" i="5" a="1"/>
  <c r="Y275" i="5"/>
  <c r="Y274" i="5" a="1"/>
  <c r="Y274" i="5"/>
  <c r="Y273" i="5" a="1"/>
  <c r="Y273" i="5"/>
  <c r="Y272" i="5" a="1"/>
  <c r="Y272" i="5"/>
  <c r="Y271" i="5" a="1"/>
  <c r="Y271" i="5"/>
  <c r="Y270" i="5" a="1"/>
  <c r="Y270" i="5"/>
  <c r="Y269" i="5" a="1"/>
  <c r="Y269" i="5"/>
  <c r="Y268" i="5" a="1"/>
  <c r="Y268" i="5"/>
  <c r="Y267" i="5" a="1"/>
  <c r="Y267" i="5"/>
  <c r="Y266" i="5" a="1"/>
  <c r="Y266" i="5"/>
  <c r="Y265" i="5" a="1"/>
  <c r="Y265" i="5"/>
  <c r="Y264" i="5" a="1"/>
  <c r="Y264" i="5"/>
  <c r="Y263" i="5" a="1"/>
  <c r="Y263" i="5"/>
  <c r="Y262" i="5" a="1"/>
  <c r="Y262" i="5"/>
  <c r="Y261" i="5" a="1"/>
  <c r="Y261" i="5"/>
  <c r="Y260" i="5" a="1"/>
  <c r="Y260" i="5"/>
  <c r="Y259" i="5" a="1"/>
  <c r="Y259" i="5"/>
  <c r="Y258" i="5" a="1"/>
  <c r="Y258" i="5"/>
  <c r="Y257" i="5" a="1"/>
  <c r="Y257" i="5"/>
  <c r="Y256" i="5" a="1"/>
  <c r="Y256" i="5"/>
  <c r="Y255" i="5" a="1"/>
  <c r="Y255" i="5"/>
  <c r="Y254" i="5" a="1"/>
  <c r="Y254" i="5"/>
  <c r="Y253" i="5" a="1"/>
  <c r="Y253" i="5"/>
  <c r="Y252" i="5" a="1"/>
  <c r="Y252" i="5"/>
  <c r="Y251" i="5" a="1"/>
  <c r="Y251" i="5"/>
  <c r="Y250" i="5" a="1"/>
  <c r="Y250" i="5"/>
  <c r="Y249" i="5" a="1"/>
  <c r="Y249" i="5"/>
  <c r="Y248" i="5" a="1"/>
  <c r="Y248" i="5"/>
  <c r="Y247" i="5" a="1"/>
  <c r="Y247" i="5"/>
  <c r="Y246" i="5" a="1"/>
  <c r="Y246" i="5"/>
  <c r="Y245" i="5" a="1"/>
  <c r="Y245" i="5"/>
  <c r="Y244" i="5" a="1"/>
  <c r="Y244" i="5"/>
  <c r="Y243" i="5" a="1"/>
  <c r="Y243" i="5"/>
  <c r="Y242" i="5" a="1"/>
  <c r="Y242" i="5"/>
  <c r="Y241" i="5" a="1"/>
  <c r="Y241" i="5"/>
  <c r="Y240" i="5" a="1"/>
  <c r="Y240" i="5"/>
  <c r="Y239" i="5" a="1"/>
  <c r="Y239" i="5"/>
  <c r="Y238" i="5" a="1"/>
  <c r="Y238" i="5"/>
  <c r="Y237" i="5" a="1"/>
  <c r="Y237" i="5"/>
  <c r="Y236" i="5" a="1"/>
  <c r="Y236" i="5"/>
  <c r="Y235" i="5" a="1"/>
  <c r="Y235" i="5"/>
  <c r="Y234" i="5" a="1"/>
  <c r="Y234" i="5"/>
  <c r="Y233" i="5" a="1"/>
  <c r="Y233" i="5"/>
  <c r="Y232" i="5" a="1"/>
  <c r="Y232" i="5"/>
  <c r="Y231" i="5" a="1"/>
  <c r="Y231" i="5"/>
  <c r="Y230" i="5" a="1"/>
  <c r="Y230" i="5"/>
  <c r="Y229" i="5" a="1"/>
  <c r="Y229" i="5"/>
  <c r="Y228" i="5" a="1"/>
  <c r="Y228" i="5"/>
  <c r="Y227" i="5" a="1"/>
  <c r="Y227" i="5"/>
  <c r="Y226" i="5" a="1"/>
  <c r="Y226" i="5"/>
  <c r="Y225" i="5" a="1"/>
  <c r="Y225" i="5"/>
  <c r="Y224" i="5" a="1"/>
  <c r="Y224" i="5"/>
  <c r="Y223" i="5" a="1"/>
  <c r="Y223" i="5"/>
  <c r="Y222" i="5" a="1"/>
  <c r="Y222" i="5"/>
  <c r="Y221" i="5" a="1"/>
  <c r="Y221" i="5"/>
  <c r="Y220" i="5" a="1"/>
  <c r="Y220" i="5"/>
  <c r="Y219" i="5" a="1"/>
  <c r="Y219" i="5"/>
  <c r="Y218" i="5" a="1"/>
  <c r="Y218" i="5"/>
  <c r="Y217" i="5" a="1"/>
  <c r="Y217" i="5"/>
  <c r="Y216" i="5" a="1"/>
  <c r="Y216" i="5"/>
  <c r="Y215" i="5" a="1"/>
  <c r="Y215" i="5"/>
  <c r="Y214" i="5" a="1"/>
  <c r="Y214" i="5"/>
  <c r="Y213" i="5" a="1"/>
  <c r="Y213" i="5"/>
  <c r="Y212" i="5" a="1"/>
  <c r="Y212" i="5"/>
  <c r="Y211" i="5" a="1"/>
  <c r="Y211" i="5"/>
  <c r="Y210" i="5" a="1"/>
  <c r="Y210" i="5"/>
  <c r="Y209" i="5" a="1"/>
  <c r="Y209" i="5"/>
  <c r="Y208" i="5" a="1"/>
  <c r="Y208" i="5"/>
  <c r="Y207" i="5" a="1"/>
  <c r="Y207" i="5"/>
  <c r="Y206" i="5" a="1"/>
  <c r="Y206" i="5"/>
  <c r="Y205" i="5" a="1"/>
  <c r="Y205" i="5"/>
  <c r="Y204" i="5" a="1"/>
  <c r="Y204" i="5"/>
  <c r="Y203" i="5" a="1"/>
  <c r="Y203" i="5"/>
  <c r="Y202" i="5" a="1"/>
  <c r="Y202" i="5"/>
  <c r="Y201" i="5" a="1"/>
  <c r="Y201" i="5"/>
  <c r="Y200" i="5" a="1"/>
  <c r="Y200" i="5"/>
  <c r="Y199" i="5" a="1"/>
  <c r="Y199" i="5"/>
  <c r="Y198" i="5" a="1"/>
  <c r="Y198" i="5"/>
  <c r="Y197" i="5" a="1"/>
  <c r="Y197" i="5"/>
  <c r="Y196" i="5" a="1"/>
  <c r="Y196" i="5"/>
  <c r="Y195" i="5" a="1"/>
  <c r="Y195" i="5"/>
  <c r="Y194" i="5" a="1"/>
  <c r="Y194" i="5"/>
  <c r="Y193" i="5" a="1"/>
  <c r="Y193" i="5"/>
  <c r="Y192" i="5" a="1"/>
  <c r="Y192" i="5"/>
  <c r="Y191" i="5" a="1"/>
  <c r="Y191" i="5"/>
  <c r="Y190" i="5" a="1"/>
  <c r="Y190" i="5"/>
  <c r="Y189" i="5" a="1"/>
  <c r="Y189" i="5"/>
  <c r="Y188" i="5" a="1"/>
  <c r="Y188" i="5"/>
  <c r="Y187" i="5" a="1"/>
  <c r="Y187" i="5"/>
  <c r="Y186" i="5" a="1"/>
  <c r="Y186" i="5"/>
  <c r="Y185" i="5" a="1"/>
  <c r="Y185" i="5"/>
  <c r="Y184" i="5" a="1"/>
  <c r="Y184" i="5"/>
  <c r="Y183" i="5" a="1"/>
  <c r="Y183" i="5"/>
  <c r="Y182" i="5" a="1"/>
  <c r="Y182" i="5"/>
  <c r="Y181" i="5" a="1"/>
  <c r="Y181" i="5"/>
  <c r="Y180" i="5" a="1"/>
  <c r="Y180" i="5"/>
  <c r="Y179" i="5" a="1"/>
  <c r="Y179" i="5"/>
  <c r="Y178" i="5" a="1"/>
  <c r="Y178" i="5"/>
  <c r="Y177" i="5" a="1"/>
  <c r="Y177" i="5"/>
  <c r="Y176" i="5" a="1"/>
  <c r="Y176" i="5"/>
  <c r="Y175" i="5" a="1"/>
  <c r="Y175" i="5"/>
  <c r="Y174" i="5" a="1"/>
  <c r="Y174" i="5"/>
  <c r="Y173" i="5" a="1"/>
  <c r="Y173" i="5"/>
  <c r="Y172" i="5" a="1"/>
  <c r="Y172" i="5"/>
  <c r="Y171" i="5" a="1"/>
  <c r="Y171" i="5"/>
  <c r="Y170" i="5" a="1"/>
  <c r="Y170" i="5"/>
  <c r="Y169" i="5" a="1"/>
  <c r="Y169" i="5"/>
  <c r="Y168" i="5" a="1"/>
  <c r="Y168" i="5"/>
  <c r="Y167" i="5" a="1"/>
  <c r="Y167" i="5"/>
  <c r="Y166" i="5" a="1"/>
  <c r="Y166" i="5"/>
  <c r="Y165" i="5" a="1"/>
  <c r="Y165" i="5"/>
  <c r="Y164" i="5" a="1"/>
  <c r="Y164" i="5"/>
  <c r="Y163" i="5" a="1"/>
  <c r="Y163" i="5"/>
  <c r="Y162" i="5" a="1"/>
  <c r="Y162" i="5"/>
  <c r="Y161" i="5" a="1"/>
  <c r="Y161" i="5"/>
  <c r="Y160" i="5" a="1"/>
  <c r="Y160" i="5"/>
  <c r="Y159" i="5" a="1"/>
  <c r="Y159" i="5"/>
  <c r="Y158" i="5" a="1"/>
  <c r="Y158" i="5"/>
  <c r="Y157" i="5" a="1"/>
  <c r="Y157" i="5"/>
  <c r="Y156" i="5" a="1"/>
  <c r="Y156" i="5"/>
  <c r="Y155" i="5" a="1"/>
  <c r="Y155" i="5"/>
  <c r="Y154" i="5" a="1"/>
  <c r="Y154" i="5"/>
  <c r="Y153" i="5" a="1"/>
  <c r="Y153" i="5"/>
  <c r="Y152" i="5" a="1"/>
  <c r="Y152" i="5"/>
  <c r="Y151" i="5" a="1"/>
  <c r="Y151" i="5"/>
  <c r="Y150" i="5" a="1"/>
  <c r="Y150" i="5"/>
  <c r="Y149" i="5" a="1"/>
  <c r="Y149" i="5"/>
  <c r="Y148" i="5" a="1"/>
  <c r="Y148" i="5"/>
  <c r="Y147" i="5" a="1"/>
  <c r="Y147" i="5"/>
  <c r="Y146" i="5" a="1"/>
  <c r="Y146" i="5"/>
  <c r="Y145" i="5" a="1"/>
  <c r="Y145" i="5"/>
  <c r="Y144" i="5" a="1"/>
  <c r="Y144" i="5"/>
  <c r="Y143" i="5" a="1"/>
  <c r="Y143" i="5"/>
  <c r="Y142" i="5" a="1"/>
  <c r="Y142" i="5"/>
  <c r="Y141" i="5" a="1"/>
  <c r="Y141" i="5"/>
  <c r="Y140" i="5" a="1"/>
  <c r="Y140" i="5"/>
  <c r="Y139" i="5" a="1"/>
  <c r="Y139" i="5"/>
  <c r="Y138" i="5" a="1"/>
  <c r="Y138" i="5"/>
  <c r="Y137" i="5" a="1"/>
  <c r="Y137" i="5"/>
  <c r="Y136" i="5" a="1"/>
  <c r="Y136" i="5"/>
  <c r="Y135" i="5" a="1"/>
  <c r="Y135" i="5"/>
  <c r="Y134" i="5" a="1"/>
  <c r="Y134" i="5"/>
  <c r="Y133" i="5" a="1"/>
  <c r="Y133" i="5"/>
  <c r="Y132" i="5" a="1"/>
  <c r="Y132" i="5"/>
  <c r="Y131" i="5" a="1"/>
  <c r="Y131" i="5"/>
  <c r="Y130" i="5" a="1"/>
  <c r="Y130" i="5"/>
  <c r="Y129" i="5" a="1"/>
  <c r="Y129" i="5"/>
  <c r="Y128" i="5" a="1"/>
  <c r="Y128" i="5"/>
  <c r="Y127" i="5" a="1"/>
  <c r="Y127" i="5"/>
  <c r="Y126" i="5" a="1"/>
  <c r="Y126" i="5"/>
  <c r="Y125" i="5" a="1"/>
  <c r="Y125" i="5"/>
  <c r="Y124" i="5" a="1"/>
  <c r="Y124" i="5"/>
  <c r="Y123" i="5" a="1"/>
  <c r="Y123" i="5"/>
  <c r="Y122" i="5" a="1"/>
  <c r="Y122" i="5"/>
  <c r="Y121" i="5" a="1"/>
  <c r="Y121" i="5"/>
  <c r="Y120" i="5" a="1"/>
  <c r="Y120" i="5"/>
  <c r="Y119" i="5" a="1"/>
  <c r="Y119" i="5"/>
  <c r="Y118" i="5" a="1"/>
  <c r="Y118" i="5"/>
  <c r="Y117" i="5" a="1"/>
  <c r="Y117" i="5"/>
  <c r="Y116" i="5" a="1"/>
  <c r="Y116" i="5"/>
  <c r="Y115" i="5" a="1"/>
  <c r="Y115" i="5"/>
  <c r="Y114" i="5" a="1"/>
  <c r="Y114" i="5"/>
  <c r="Y113" i="5" a="1"/>
  <c r="Y113" i="5"/>
  <c r="Y112" i="5" a="1"/>
  <c r="Y112" i="5"/>
  <c r="Y111" i="5" a="1"/>
  <c r="Y111" i="5"/>
  <c r="Y110" i="5" a="1"/>
  <c r="Y110" i="5"/>
  <c r="Y109" i="5" a="1"/>
  <c r="Y109" i="5"/>
  <c r="Y108" i="5" a="1"/>
  <c r="Y108" i="5"/>
  <c r="Y107" i="5" a="1"/>
  <c r="Y107" i="5"/>
  <c r="Y106" i="5" a="1"/>
  <c r="Y106" i="5"/>
  <c r="Y105" i="5" a="1"/>
  <c r="Y105" i="5"/>
  <c r="Y104" i="5" a="1"/>
  <c r="Y104" i="5"/>
  <c r="Y103" i="5" a="1"/>
  <c r="Y103" i="5"/>
  <c r="Y102" i="5" a="1"/>
  <c r="Y102" i="5"/>
  <c r="Y101" i="5" a="1"/>
  <c r="Y101" i="5"/>
  <c r="Y100" i="5" a="1"/>
  <c r="Y100" i="5"/>
  <c r="Y99" i="5" a="1"/>
  <c r="Y99" i="5"/>
  <c r="Y98" i="5" a="1"/>
  <c r="Y98" i="5"/>
  <c r="Y97" i="5" a="1"/>
  <c r="Y97" i="5"/>
  <c r="Y96" i="5" a="1"/>
  <c r="Y96" i="5"/>
  <c r="Y95" i="5" a="1"/>
  <c r="Y95" i="5"/>
  <c r="Y94" i="5" a="1"/>
  <c r="Y94" i="5"/>
  <c r="Y93" i="5" a="1"/>
  <c r="Y93" i="5"/>
  <c r="Y92" i="5" a="1"/>
  <c r="Y92" i="5"/>
  <c r="Y91" i="5" a="1"/>
  <c r="Y91" i="5"/>
  <c r="Y90" i="5" a="1"/>
  <c r="Y90" i="5"/>
  <c r="Y89" i="5" a="1"/>
  <c r="Y89" i="5"/>
  <c r="Y88" i="5" a="1"/>
  <c r="Y88" i="5"/>
  <c r="Y87" i="5" a="1"/>
  <c r="Y87" i="5"/>
  <c r="Y86" i="5" a="1"/>
  <c r="Y86" i="5"/>
  <c r="Y85" i="5" a="1"/>
  <c r="Y85" i="5"/>
  <c r="Y84" i="5" a="1"/>
  <c r="Y84" i="5"/>
  <c r="Y83" i="5" a="1"/>
  <c r="Y83" i="5"/>
  <c r="Y82" i="5" a="1"/>
  <c r="Y82" i="5"/>
  <c r="Y81" i="5" a="1"/>
  <c r="Y81" i="5"/>
  <c r="Y80" i="5" a="1"/>
  <c r="Y80" i="5"/>
  <c r="Y79" i="5" a="1"/>
  <c r="Y79" i="5"/>
  <c r="Y78" i="5" a="1"/>
  <c r="Y78" i="5"/>
  <c r="Y77" i="5" a="1"/>
  <c r="Y77" i="5"/>
  <c r="Y76" i="5" a="1"/>
  <c r="Y76" i="5"/>
  <c r="Y75" i="5" a="1"/>
  <c r="Y75" i="5"/>
  <c r="Y74" i="5" a="1"/>
  <c r="Y74" i="5"/>
  <c r="Y73" i="5" a="1"/>
  <c r="Y73" i="5"/>
  <c r="Y72" i="5" a="1"/>
  <c r="Y72" i="5"/>
  <c r="Y71" i="5" a="1"/>
  <c r="Y71" i="5"/>
  <c r="Y70" i="5" a="1"/>
  <c r="Y70" i="5"/>
  <c r="Y69" i="5" a="1"/>
  <c r="Y69" i="5"/>
  <c r="Y68" i="5" a="1"/>
  <c r="Y68" i="5"/>
  <c r="Y67" i="5" a="1"/>
  <c r="Y67" i="5"/>
  <c r="Y66" i="5" a="1"/>
  <c r="Y66" i="5"/>
  <c r="Y65" i="5" a="1"/>
  <c r="Y65" i="5"/>
  <c r="Y64" i="5" a="1"/>
  <c r="Y64" i="5"/>
  <c r="Y63" i="5" a="1"/>
  <c r="Y63" i="5"/>
  <c r="Y62" i="5" a="1"/>
  <c r="Y62" i="5"/>
  <c r="Y61" i="5" a="1"/>
  <c r="Y61" i="5"/>
  <c r="Y60" i="5" a="1"/>
  <c r="Y60" i="5"/>
  <c r="Y59" i="5" a="1"/>
  <c r="Y59" i="5"/>
  <c r="Y58" i="5" a="1"/>
  <c r="Y58" i="5"/>
  <c r="Y57" i="5" a="1"/>
  <c r="Y57" i="5"/>
  <c r="Y56" i="5" a="1"/>
  <c r="Y56" i="5"/>
  <c r="Y55" i="5" a="1"/>
  <c r="Y55" i="5"/>
  <c r="Y54" i="5" a="1"/>
  <c r="Y54" i="5"/>
  <c r="Y53" i="5" a="1"/>
  <c r="Y53" i="5"/>
  <c r="Y52" i="5" a="1"/>
  <c r="Y52" i="5"/>
  <c r="Y51" i="5" a="1"/>
  <c r="Y51" i="5"/>
  <c r="Y50" i="5" a="1"/>
  <c r="Y50" i="5"/>
  <c r="Y49" i="5" a="1"/>
  <c r="Y49" i="5"/>
  <c r="Y48" i="5" a="1"/>
  <c r="Y48" i="5"/>
  <c r="Y47" i="5" a="1"/>
  <c r="Y47" i="5"/>
  <c r="Y46" i="5" a="1"/>
  <c r="Y46" i="5"/>
  <c r="Y45" i="5" a="1"/>
  <c r="Y45" i="5"/>
  <c r="Y44" i="5" a="1"/>
  <c r="Y44" i="5"/>
  <c r="Y43" i="5" a="1"/>
  <c r="Y43" i="5"/>
  <c r="Y42" i="5" a="1"/>
  <c r="Y42" i="5"/>
  <c r="Y41" i="5" a="1"/>
  <c r="Y41" i="5"/>
  <c r="Y40" i="5" a="1"/>
  <c r="Y40" i="5"/>
  <c r="Y39" i="5" a="1"/>
  <c r="Y39" i="5"/>
  <c r="Y38" i="5" a="1"/>
  <c r="Y38" i="5"/>
  <c r="Y37" i="5" a="1"/>
  <c r="Y37" i="5"/>
  <c r="Y36" i="5" a="1"/>
  <c r="Y36" i="5"/>
  <c r="Y35" i="5" a="1"/>
  <c r="Y35" i="5"/>
  <c r="Y34" i="5" a="1"/>
  <c r="Y34" i="5"/>
  <c r="Y33" i="5" a="1"/>
  <c r="Y33" i="5"/>
  <c r="Y32" i="5" a="1"/>
  <c r="Y32" i="5"/>
  <c r="Y31" i="5" a="1"/>
  <c r="Y31" i="5"/>
  <c r="Y30" i="5" a="1"/>
  <c r="Y30" i="5"/>
  <c r="Y29" i="5" a="1"/>
  <c r="Y29" i="5"/>
  <c r="Y28" i="5" a="1"/>
  <c r="Y28" i="5"/>
  <c r="Y27" i="5" a="1"/>
  <c r="Y27" i="5"/>
  <c r="Y26" i="5" a="1"/>
  <c r="Y26" i="5"/>
  <c r="Y25" i="5" a="1"/>
  <c r="Y25" i="5"/>
  <c r="Y24" i="5" a="1"/>
  <c r="Y24" i="5"/>
  <c r="Y23" i="5" a="1"/>
  <c r="Y23" i="5"/>
  <c r="Y22" i="5" a="1"/>
  <c r="Y22" i="5"/>
  <c r="Y21" i="5" a="1"/>
  <c r="Y21" i="5"/>
  <c r="Y20" i="5" a="1"/>
  <c r="Y20" i="5"/>
  <c r="Y19" i="5" a="1"/>
  <c r="Y19" i="5"/>
  <c r="Y18" i="5" a="1"/>
  <c r="Y18" i="5"/>
  <c r="Y17" i="5" a="1"/>
  <c r="Y17" i="5"/>
  <c r="Y16" i="5" a="1"/>
  <c r="Y16" i="5"/>
  <c r="Y15" i="5" a="1"/>
  <c r="Y15" i="5"/>
  <c r="AA600" i="5"/>
  <c r="AA599" i="5"/>
  <c r="AA598" i="5"/>
  <c r="AA597" i="5"/>
  <c r="AA596" i="5"/>
  <c r="AA595" i="5"/>
  <c r="AA594" i="5"/>
  <c r="AA593" i="5"/>
  <c r="AA592" i="5"/>
  <c r="AA591" i="5"/>
  <c r="AA590" i="5"/>
  <c r="AA589" i="5"/>
  <c r="AA588" i="5"/>
  <c r="AA587" i="5"/>
  <c r="AA586" i="5"/>
  <c r="AA585" i="5"/>
  <c r="AA584" i="5"/>
  <c r="AA583" i="5"/>
  <c r="AA582" i="5"/>
  <c r="AA581" i="5"/>
  <c r="AA580" i="5"/>
  <c r="AA579" i="5"/>
  <c r="AA578" i="5"/>
  <c r="AA577" i="5"/>
  <c r="AA576" i="5"/>
  <c r="AA575" i="5"/>
  <c r="AA574" i="5"/>
  <c r="AA573" i="5"/>
  <c r="AA572" i="5"/>
  <c r="AA571" i="5"/>
  <c r="AA570" i="5"/>
  <c r="AA569" i="5"/>
  <c r="AA568" i="5"/>
  <c r="AA567" i="5"/>
  <c r="AA566" i="5"/>
  <c r="AA565" i="5"/>
  <c r="AA564" i="5"/>
  <c r="AA563" i="5"/>
  <c r="AA562" i="5"/>
  <c r="AA561" i="5"/>
  <c r="AA560" i="5"/>
  <c r="AA559" i="5"/>
  <c r="AA558" i="5"/>
  <c r="AA557" i="5"/>
  <c r="AA556" i="5"/>
  <c r="AA555" i="5"/>
  <c r="AA554" i="5"/>
  <c r="AA553" i="5"/>
  <c r="AA552" i="5"/>
  <c r="AA551" i="5"/>
  <c r="AA550" i="5"/>
  <c r="AA549" i="5"/>
  <c r="AA548" i="5"/>
  <c r="AA547" i="5"/>
  <c r="AA546" i="5"/>
  <c r="AA545" i="5"/>
  <c r="AA544" i="5"/>
  <c r="AA543" i="5"/>
  <c r="AA542" i="5"/>
  <c r="AA541" i="5"/>
  <c r="AA540" i="5"/>
  <c r="AA539" i="5"/>
  <c r="AA538" i="5"/>
  <c r="AA537" i="5"/>
  <c r="AA536" i="5"/>
  <c r="AA535" i="5"/>
  <c r="AA534" i="5"/>
  <c r="AA533" i="5"/>
  <c r="AA532" i="5"/>
  <c r="AA531" i="5"/>
  <c r="AA530" i="5"/>
  <c r="AA529" i="5"/>
  <c r="AA528" i="5"/>
  <c r="AA527" i="5"/>
  <c r="AA526" i="5"/>
  <c r="AA525" i="5"/>
  <c r="AA524" i="5"/>
  <c r="AA523" i="5"/>
  <c r="AA522" i="5"/>
  <c r="AA521" i="5"/>
  <c r="AA520" i="5"/>
  <c r="AA519" i="5"/>
  <c r="AA518" i="5"/>
  <c r="AA517" i="5"/>
  <c r="AA516" i="5"/>
  <c r="AA515" i="5"/>
  <c r="AA514" i="5"/>
  <c r="AA513" i="5"/>
  <c r="AA512" i="5"/>
  <c r="AA511" i="5"/>
  <c r="AA510" i="5"/>
  <c r="AA509" i="5"/>
  <c r="AA508" i="5"/>
  <c r="AA507" i="5"/>
  <c r="AA506" i="5"/>
  <c r="AA505" i="5"/>
  <c r="AA504" i="5"/>
  <c r="AA503" i="5"/>
  <c r="AA502" i="5"/>
  <c r="AA501" i="5"/>
  <c r="AA500" i="5"/>
  <c r="AA499" i="5"/>
  <c r="AA498" i="5"/>
  <c r="AA497" i="5"/>
  <c r="AA496" i="5"/>
  <c r="AA495" i="5"/>
  <c r="AA494" i="5"/>
  <c r="AA493" i="5"/>
  <c r="AA492" i="5"/>
  <c r="AA491" i="5"/>
  <c r="AA490" i="5"/>
  <c r="AA489" i="5"/>
  <c r="AA488" i="5"/>
  <c r="AA487" i="5"/>
  <c r="AA486" i="5"/>
  <c r="AA485" i="5"/>
  <c r="AA484" i="5"/>
  <c r="AA483" i="5"/>
  <c r="AA482" i="5"/>
  <c r="AA481" i="5"/>
  <c r="AA480" i="5"/>
  <c r="AA479" i="5"/>
  <c r="AA478" i="5"/>
  <c r="AA477" i="5"/>
  <c r="AA476" i="5"/>
  <c r="AA475" i="5"/>
  <c r="AA474" i="5"/>
  <c r="AA473" i="5"/>
  <c r="AA472" i="5"/>
  <c r="AA471" i="5"/>
  <c r="AA470" i="5"/>
  <c r="AA469" i="5"/>
  <c r="AA468" i="5"/>
  <c r="AA467" i="5"/>
  <c r="AA466" i="5"/>
  <c r="AA465" i="5"/>
  <c r="AA464" i="5"/>
  <c r="AA463" i="5"/>
  <c r="AA462" i="5"/>
  <c r="AA461" i="5"/>
  <c r="AA460" i="5"/>
  <c r="AA459" i="5"/>
  <c r="AA458" i="5"/>
  <c r="AA457" i="5"/>
  <c r="AA456" i="5"/>
  <c r="AA455" i="5"/>
  <c r="AA454" i="5"/>
  <c r="AA453" i="5"/>
  <c r="AA452" i="5"/>
  <c r="AA451" i="5"/>
  <c r="AA450" i="5"/>
  <c r="AA449" i="5"/>
  <c r="AA448" i="5"/>
  <c r="AA447" i="5"/>
  <c r="AA446" i="5"/>
  <c r="AA445" i="5"/>
  <c r="AA444" i="5"/>
  <c r="AA443" i="5"/>
  <c r="AA442" i="5"/>
  <c r="AA441" i="5"/>
  <c r="AA440" i="5"/>
  <c r="AA439" i="5"/>
  <c r="AA438" i="5"/>
  <c r="AA437" i="5"/>
  <c r="AA436" i="5"/>
  <c r="AA435" i="5"/>
  <c r="AA434" i="5"/>
  <c r="AA433" i="5"/>
  <c r="AA432" i="5"/>
  <c r="AA431" i="5"/>
  <c r="AA430" i="5"/>
  <c r="AA429" i="5"/>
  <c r="AA428" i="5"/>
  <c r="AA427" i="5"/>
  <c r="AA426" i="5"/>
  <c r="AA425" i="5"/>
  <c r="AA424" i="5"/>
  <c r="AA423" i="5"/>
  <c r="AA422" i="5"/>
  <c r="AA421" i="5"/>
  <c r="AA420" i="5"/>
  <c r="AA419" i="5"/>
  <c r="AA418" i="5"/>
  <c r="AA417" i="5"/>
  <c r="AA416" i="5"/>
  <c r="AA415" i="5"/>
  <c r="AA414" i="5"/>
  <c r="AA413" i="5"/>
  <c r="AA412" i="5"/>
  <c r="AA411" i="5"/>
  <c r="AA410" i="5"/>
  <c r="AA409" i="5"/>
  <c r="AA408" i="5"/>
  <c r="AA407" i="5"/>
  <c r="AA406" i="5"/>
  <c r="AA405" i="5"/>
  <c r="AA404" i="5"/>
  <c r="AA403" i="5"/>
  <c r="AA402" i="5"/>
  <c r="AA401" i="5"/>
  <c r="AA400" i="5"/>
  <c r="AA399" i="5"/>
  <c r="AA398" i="5"/>
  <c r="AA397" i="5"/>
  <c r="AA396" i="5"/>
  <c r="AA395" i="5"/>
  <c r="AA394" i="5"/>
  <c r="AA393" i="5"/>
  <c r="AA392" i="5"/>
  <c r="AA391" i="5"/>
  <c r="AA390" i="5"/>
  <c r="AA389" i="5"/>
  <c r="AA388" i="5"/>
  <c r="AA387" i="5"/>
  <c r="AA386" i="5"/>
  <c r="AA385" i="5"/>
  <c r="AA384" i="5"/>
  <c r="AA383" i="5"/>
  <c r="AA382" i="5"/>
  <c r="AA381" i="5"/>
  <c r="AA380" i="5"/>
  <c r="AA379" i="5"/>
  <c r="AA378" i="5"/>
  <c r="AA377" i="5"/>
  <c r="AA376" i="5"/>
  <c r="AA375" i="5"/>
  <c r="AA374" i="5"/>
  <c r="AA373" i="5"/>
  <c r="AA372" i="5"/>
  <c r="AA371" i="5"/>
  <c r="AA370" i="5"/>
  <c r="AA369" i="5"/>
  <c r="AA368" i="5"/>
  <c r="AA367" i="5"/>
  <c r="AA366" i="5"/>
  <c r="AA365" i="5"/>
  <c r="AA364" i="5"/>
  <c r="AA363" i="5"/>
  <c r="AA362" i="5"/>
  <c r="AA361" i="5"/>
  <c r="AA360" i="5"/>
  <c r="AA359" i="5"/>
  <c r="AA358" i="5"/>
  <c r="AA357" i="5"/>
  <c r="AA356" i="5"/>
  <c r="AA355" i="5"/>
  <c r="AA354" i="5"/>
  <c r="AA353" i="5"/>
  <c r="AA352" i="5"/>
  <c r="AA351" i="5"/>
  <c r="AA350" i="5"/>
  <c r="AA349" i="5"/>
  <c r="AA348" i="5"/>
  <c r="AA347" i="5"/>
  <c r="AA346" i="5"/>
  <c r="AA345" i="5"/>
  <c r="AA344" i="5"/>
  <c r="AA343" i="5"/>
  <c r="AA342" i="5"/>
  <c r="AA341" i="5"/>
  <c r="AA340" i="5"/>
  <c r="AA339" i="5"/>
  <c r="AA338" i="5"/>
  <c r="AA337" i="5"/>
  <c r="AA336" i="5"/>
  <c r="AA335" i="5"/>
  <c r="AA334" i="5"/>
  <c r="AA333" i="5"/>
  <c r="AA332" i="5"/>
  <c r="AA331" i="5"/>
  <c r="AA330" i="5"/>
  <c r="AA329" i="5"/>
  <c r="AA328" i="5"/>
  <c r="AA327" i="5"/>
  <c r="AA326" i="5"/>
  <c r="AA325" i="5"/>
  <c r="AA324" i="5"/>
  <c r="AA323" i="5"/>
  <c r="AA322" i="5"/>
  <c r="AA321" i="5"/>
  <c r="AA320" i="5"/>
  <c r="AA319" i="5"/>
  <c r="AA318" i="5"/>
  <c r="AA317" i="5"/>
  <c r="AA316" i="5"/>
  <c r="AA315" i="5"/>
  <c r="AA314" i="5"/>
  <c r="AA313" i="5"/>
  <c r="AA312" i="5"/>
  <c r="AA311" i="5"/>
  <c r="AA310" i="5"/>
  <c r="AA309" i="5"/>
  <c r="AA308" i="5"/>
  <c r="AA307" i="5"/>
  <c r="AA306" i="5"/>
  <c r="AA305" i="5"/>
  <c r="AA304" i="5"/>
  <c r="AA303" i="5"/>
  <c r="AA302" i="5"/>
  <c r="AA301" i="5"/>
  <c r="AA300" i="5"/>
  <c r="AA299" i="5"/>
  <c r="AA298" i="5"/>
  <c r="AA297" i="5"/>
  <c r="AA296" i="5"/>
  <c r="AA295" i="5"/>
  <c r="AA294" i="5"/>
  <c r="AA293" i="5"/>
  <c r="AA292" i="5"/>
  <c r="AA291" i="5"/>
  <c r="AA290" i="5"/>
  <c r="AA289" i="5"/>
  <c r="AA288" i="5"/>
  <c r="AA287" i="5"/>
  <c r="AA286" i="5"/>
  <c r="AA285" i="5"/>
  <c r="AA284" i="5"/>
  <c r="AA283" i="5"/>
  <c r="AA282" i="5"/>
  <c r="AA281" i="5"/>
  <c r="AA280" i="5"/>
  <c r="AA279" i="5"/>
  <c r="AA278" i="5"/>
  <c r="AA277" i="5"/>
  <c r="AA276" i="5"/>
  <c r="AA275" i="5"/>
  <c r="AA274" i="5"/>
  <c r="AA273" i="5"/>
  <c r="AA272" i="5"/>
  <c r="AA271" i="5"/>
  <c r="AA270" i="5"/>
  <c r="AA269" i="5"/>
  <c r="AA268" i="5"/>
  <c r="AA267" i="5"/>
  <c r="AA266" i="5"/>
  <c r="AA265" i="5"/>
  <c r="AA264" i="5"/>
  <c r="AA263" i="5"/>
  <c r="AA262" i="5"/>
  <c r="AA261" i="5"/>
  <c r="AA260" i="5"/>
  <c r="AA259" i="5"/>
  <c r="AA258" i="5"/>
  <c r="AA257" i="5"/>
  <c r="AA256" i="5"/>
  <c r="AA255" i="5"/>
  <c r="AA254" i="5"/>
  <c r="AA253" i="5"/>
  <c r="AA252" i="5"/>
  <c r="AA251" i="5"/>
  <c r="AA250" i="5"/>
  <c r="AA249" i="5"/>
  <c r="AA248" i="5"/>
  <c r="AA247" i="5"/>
  <c r="AA246" i="5"/>
  <c r="AA245" i="5"/>
  <c r="AA244" i="5"/>
  <c r="AA243" i="5"/>
  <c r="AA242" i="5"/>
  <c r="AA241" i="5"/>
  <c r="AA240" i="5"/>
  <c r="AA239" i="5"/>
  <c r="AA238" i="5"/>
  <c r="AA237" i="5"/>
  <c r="AA236" i="5"/>
  <c r="AA235" i="5"/>
  <c r="AA234" i="5"/>
  <c r="AA233" i="5"/>
  <c r="AA232" i="5"/>
  <c r="AA231" i="5"/>
  <c r="AA230" i="5"/>
  <c r="AA229" i="5"/>
  <c r="AA228" i="5"/>
  <c r="AA227" i="5"/>
  <c r="AA226" i="5"/>
  <c r="AA225" i="5"/>
  <c r="AA224" i="5"/>
  <c r="AA223" i="5"/>
  <c r="AA222" i="5"/>
  <c r="AA221" i="5"/>
  <c r="AA220" i="5"/>
  <c r="AA219" i="5"/>
  <c r="AA218" i="5"/>
  <c r="AA217" i="5"/>
  <c r="AA216" i="5"/>
  <c r="AA215" i="5"/>
  <c r="AA214" i="5"/>
  <c r="AA213" i="5"/>
  <c r="AA212" i="5"/>
  <c r="AA211" i="5"/>
  <c r="AA210" i="5"/>
  <c r="AA209" i="5"/>
  <c r="AA208" i="5"/>
  <c r="AA207" i="5"/>
  <c r="AA206" i="5"/>
  <c r="AA205" i="5"/>
  <c r="AA204" i="5"/>
  <c r="AA203" i="5"/>
  <c r="AA202" i="5"/>
  <c r="AA201" i="5"/>
  <c r="AA200" i="5"/>
  <c r="AA199" i="5"/>
  <c r="AA198" i="5"/>
  <c r="AA197" i="5"/>
  <c r="AA196" i="5"/>
  <c r="AA195" i="5"/>
  <c r="AA194" i="5"/>
  <c r="AA193" i="5"/>
  <c r="AA192" i="5"/>
  <c r="AA191" i="5"/>
  <c r="AA190" i="5"/>
  <c r="AA189" i="5"/>
  <c r="AA188" i="5"/>
  <c r="AA187" i="5"/>
  <c r="AA186" i="5"/>
  <c r="AA185" i="5"/>
  <c r="AA184" i="5"/>
  <c r="AA183" i="5"/>
  <c r="AA182" i="5"/>
  <c r="AA181" i="5"/>
  <c r="AA180" i="5"/>
  <c r="AA179" i="5"/>
  <c r="AA178" i="5"/>
  <c r="AA177" i="5"/>
  <c r="AA176" i="5"/>
  <c r="AA175" i="5"/>
  <c r="AA174" i="5"/>
  <c r="AA173" i="5"/>
  <c r="AA172" i="5"/>
  <c r="AA171" i="5"/>
  <c r="AA170" i="5"/>
  <c r="AA169" i="5"/>
  <c r="AA168" i="5"/>
  <c r="AA167" i="5"/>
  <c r="AA166" i="5"/>
  <c r="AA165" i="5"/>
  <c r="AA164" i="5"/>
  <c r="AA163" i="5"/>
  <c r="AA162" i="5"/>
  <c r="AA161" i="5"/>
  <c r="AA160" i="5"/>
  <c r="AA159" i="5"/>
  <c r="AA158" i="5"/>
  <c r="AA157" i="5"/>
  <c r="AA156" i="5"/>
  <c r="AA155" i="5"/>
  <c r="AA154" i="5"/>
  <c r="AA153" i="5"/>
  <c r="AA152" i="5"/>
  <c r="AA151" i="5"/>
  <c r="AA150" i="5"/>
  <c r="AA149" i="5"/>
  <c r="AA148" i="5"/>
  <c r="AA147" i="5"/>
  <c r="AA146" i="5"/>
  <c r="AA145" i="5"/>
  <c r="AA144" i="5"/>
  <c r="AA143" i="5"/>
  <c r="AA142" i="5"/>
  <c r="AA141" i="5"/>
  <c r="AA140" i="5"/>
  <c r="AA139" i="5"/>
  <c r="AA138" i="5"/>
  <c r="AA137" i="5"/>
  <c r="AA136" i="5"/>
  <c r="AA135" i="5"/>
  <c r="AA134" i="5"/>
  <c r="AA133" i="5"/>
  <c r="AA132" i="5"/>
  <c r="AA131" i="5"/>
  <c r="AA130" i="5"/>
  <c r="AA129" i="5"/>
  <c r="AA128" i="5"/>
  <c r="AA127" i="5"/>
  <c r="AA126" i="5"/>
  <c r="AA125" i="5"/>
  <c r="AA124" i="5"/>
  <c r="AA123" i="5"/>
  <c r="AA122" i="5"/>
  <c r="AA121" i="5"/>
  <c r="AA120" i="5"/>
  <c r="AA119" i="5"/>
  <c r="AA118" i="5"/>
  <c r="AA117" i="5"/>
  <c r="AA116" i="5"/>
  <c r="AA115" i="5"/>
  <c r="AA114" i="5"/>
  <c r="AA113" i="5"/>
  <c r="AA112" i="5"/>
  <c r="AA111" i="5"/>
  <c r="AA110" i="5"/>
  <c r="AA109" i="5"/>
  <c r="AA108" i="5"/>
  <c r="AA107" i="5"/>
  <c r="AA106" i="5"/>
  <c r="AA105" i="5"/>
  <c r="AA104" i="5"/>
  <c r="AA103" i="5"/>
  <c r="AA102" i="5"/>
  <c r="AA101" i="5"/>
  <c r="AA100" i="5"/>
  <c r="AA99" i="5"/>
  <c r="AA98" i="5"/>
  <c r="AA97" i="5"/>
  <c r="AA96" i="5"/>
  <c r="AA95" i="5"/>
  <c r="AA94" i="5"/>
  <c r="AA93" i="5"/>
  <c r="AA92" i="5"/>
  <c r="AA91" i="5"/>
  <c r="AA90" i="5"/>
  <c r="AA89" i="5"/>
  <c r="AA88" i="5"/>
  <c r="AA87" i="5"/>
  <c r="AA86" i="5"/>
  <c r="AA85" i="5"/>
  <c r="AA84" i="5"/>
  <c r="AA83" i="5"/>
  <c r="AA82" i="5"/>
  <c r="AA81" i="5"/>
  <c r="AA80" i="5"/>
  <c r="AA79" i="5"/>
  <c r="AA78" i="5"/>
  <c r="AA77" i="5"/>
  <c r="AA76" i="5"/>
  <c r="AA75" i="5"/>
  <c r="AA74" i="5"/>
  <c r="AA73" i="5"/>
  <c r="AA72" i="5"/>
  <c r="AA71" i="5"/>
  <c r="AA70" i="5"/>
  <c r="AA69" i="5"/>
  <c r="AA68" i="5"/>
  <c r="AA67" i="5"/>
  <c r="AA66" i="5"/>
  <c r="AA65" i="5"/>
  <c r="AA64" i="5"/>
  <c r="AA63" i="5"/>
  <c r="AA62" i="5"/>
  <c r="AA61" i="5"/>
  <c r="AA60" i="5"/>
  <c r="AA59" i="5"/>
  <c r="AA58" i="5"/>
  <c r="AA57" i="5"/>
  <c r="AA56" i="5"/>
  <c r="AA55" i="5"/>
  <c r="AA54" i="5"/>
  <c r="AA53" i="5"/>
  <c r="AA52" i="5"/>
  <c r="AA51" i="5"/>
  <c r="AA50" i="5"/>
  <c r="AA49" i="5"/>
  <c r="AA48" i="5"/>
  <c r="AA47" i="5"/>
  <c r="AA46" i="5"/>
  <c r="AA45" i="5"/>
  <c r="AA44" i="5"/>
  <c r="AA43" i="5"/>
  <c r="AA42" i="5"/>
  <c r="AA41" i="5"/>
  <c r="AA40" i="5"/>
  <c r="AA39" i="5"/>
  <c r="AA38" i="5"/>
  <c r="AA37" i="5"/>
  <c r="AA36" i="5"/>
  <c r="AA35" i="5"/>
  <c r="AA34" i="5"/>
  <c r="AA33" i="5"/>
  <c r="AA32" i="5"/>
  <c r="AA31" i="5"/>
  <c r="AA30" i="5"/>
  <c r="AA29" i="5"/>
  <c r="AA28" i="5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AA4" i="5"/>
  <c r="AA3" i="5"/>
  <c r="R3" i="1"/>
  <c r="AT2" i="5"/>
  <c r="AU2" i="5"/>
  <c r="AS2" i="5"/>
</calcChain>
</file>

<file path=xl/sharedStrings.xml><?xml version="1.0" encoding="utf-8"?>
<sst xmlns="http://schemas.openxmlformats.org/spreadsheetml/2006/main" count="251" uniqueCount="193">
  <si>
    <t>Action</t>
  </si>
  <si>
    <t>Detail</t>
  </si>
  <si>
    <t>More Details</t>
  </si>
  <si>
    <t>Auto_Drive jar path</t>
  </si>
  <si>
    <t>Chrome exe Path</t>
  </si>
  <si>
    <t>Provide the xpath</t>
  </si>
  <si>
    <t>Provide the xpath &amp; Text</t>
  </si>
  <si>
    <t>Provide the ID</t>
  </si>
  <si>
    <t>Provide the Linked Text</t>
  </si>
  <si>
    <t>Functionalities</t>
  </si>
  <si>
    <t>Help Text</t>
  </si>
  <si>
    <t>Comments</t>
  </si>
  <si>
    <t>Status</t>
  </si>
  <si>
    <t>Framework Comments (in Output File)</t>
  </si>
  <si>
    <t>Output File Generation</t>
  </si>
  <si>
    <t>Send Mail on Completion</t>
  </si>
  <si>
    <t>Yes</t>
  </si>
  <si>
    <t>Keyboard Strokes</t>
  </si>
  <si>
    <t>Ctrl</t>
  </si>
  <si>
    <t>Ctrl+Shift</t>
  </si>
  <si>
    <t>Shift</t>
  </si>
  <si>
    <t>Alt</t>
  </si>
  <si>
    <t>Ctrl+Shift+Alt</t>
  </si>
  <si>
    <t>Windows</t>
  </si>
  <si>
    <t>Keyboard Keys</t>
  </si>
  <si>
    <t>F1</t>
  </si>
  <si>
    <t>F2</t>
  </si>
  <si>
    <t>F3</t>
  </si>
  <si>
    <t>F4</t>
  </si>
  <si>
    <t>F5</t>
  </si>
  <si>
    <t>F6</t>
  </si>
  <si>
    <t>F7</t>
  </si>
  <si>
    <t>F8</t>
  </si>
  <si>
    <t>F</t>
  </si>
  <si>
    <t>F9</t>
  </si>
  <si>
    <t>F10</t>
  </si>
  <si>
    <t>F11</t>
  </si>
  <si>
    <t>F12</t>
  </si>
  <si>
    <t>A</t>
  </si>
  <si>
    <t>B</t>
  </si>
  <si>
    <t>Capslock</t>
  </si>
  <si>
    <t>Num Lock</t>
  </si>
  <si>
    <t>Home</t>
  </si>
  <si>
    <t>End</t>
  </si>
  <si>
    <t>Insert</t>
  </si>
  <si>
    <t>Delete</t>
  </si>
  <si>
    <t>Page Up</t>
  </si>
  <si>
    <t>Page Down</t>
  </si>
  <si>
    <t>Esc</t>
  </si>
  <si>
    <t>+</t>
  </si>
  <si>
    <t>-</t>
  </si>
  <si>
    <t>Up Arrow</t>
  </si>
  <si>
    <t>Down Arrow</t>
  </si>
  <si>
    <t>Left Arrow</t>
  </si>
  <si>
    <t>Right Arrow</t>
  </si>
  <si>
    <t>Print Screen</t>
  </si>
  <si>
    <t>Scroll Lock</t>
  </si>
  <si>
    <t>C</t>
  </si>
  <si>
    <t>D</t>
  </si>
  <si>
    <t>E</t>
  </si>
  <si>
    <t>G</t>
  </si>
  <si>
    <t>J</t>
  </si>
  <si>
    <t>K</t>
  </si>
  <si>
    <t>M</t>
  </si>
  <si>
    <t>O</t>
  </si>
  <si>
    <t>P</t>
  </si>
  <si>
    <t>Q</t>
  </si>
  <si>
    <t>T</t>
  </si>
  <si>
    <t>V</t>
  </si>
  <si>
    <t>W</t>
  </si>
  <si>
    <t>X</t>
  </si>
  <si>
    <t>Y</t>
  </si>
  <si>
    <t>Z</t>
  </si>
  <si>
    <t>H</t>
  </si>
  <si>
    <t>I</t>
  </si>
  <si>
    <t>L</t>
  </si>
  <si>
    <t>N</t>
  </si>
  <si>
    <t>R</t>
  </si>
  <si>
    <t>S</t>
  </si>
  <si>
    <t>U</t>
  </si>
  <si>
    <t>&lt;None&gt;</t>
  </si>
  <si>
    <t>Backspace</t>
  </si>
  <si>
    <t>TAB</t>
  </si>
  <si>
    <t>Enter</t>
  </si>
  <si>
    <t>Spacebar</t>
  </si>
  <si>
    <t>Max Row</t>
  </si>
  <si>
    <t>Execute on Excel Open</t>
  </si>
  <si>
    <t>Close Excel After Execute</t>
  </si>
  <si>
    <t>#</t>
  </si>
  <si>
    <t>Rows</t>
  </si>
  <si>
    <t>ECSADMC - BT</t>
  </si>
  <si>
    <t>Today's Date</t>
  </si>
  <si>
    <t>Last Execution Date</t>
  </si>
  <si>
    <t>Execution Status</t>
  </si>
  <si>
    <t>Total Cases</t>
  </si>
  <si>
    <t>Passed</t>
  </si>
  <si>
    <t>Skipped</t>
  </si>
  <si>
    <t>Failed</t>
  </si>
  <si>
    <t>Drive Inputs#</t>
  </si>
  <si>
    <t>Rrepeatative Inputs#</t>
  </si>
  <si>
    <t>Excel Inputs#</t>
  </si>
  <si>
    <t>Controls#</t>
  </si>
  <si>
    <t>Drive Test Cases</t>
  </si>
  <si>
    <t>Repeatative Test Cases</t>
  </si>
  <si>
    <t>Excel Test Cases</t>
  </si>
  <si>
    <t>All Test Cases</t>
  </si>
  <si>
    <t>S.No.</t>
  </si>
  <si>
    <t>Type</t>
  </si>
  <si>
    <t>Name</t>
  </si>
  <si>
    <t>Drive</t>
  </si>
  <si>
    <t>Sequence List</t>
  </si>
  <si>
    <t>Current Sequence#</t>
  </si>
  <si>
    <t>Drive Max Row</t>
  </si>
  <si>
    <t>Repetative Max Row</t>
  </si>
  <si>
    <t>Excel Max Row</t>
  </si>
  <si>
    <t>Drive TC Selection</t>
  </si>
  <si>
    <t>Repetative TC Selection</t>
  </si>
  <si>
    <t>Excel TC Selection</t>
  </si>
  <si>
    <t>Sequence</t>
  </si>
  <si>
    <t>Browser Version</t>
  </si>
  <si>
    <t>Normal</t>
  </si>
  <si>
    <t>Exists</t>
  </si>
  <si>
    <t>Excel</t>
  </si>
  <si>
    <t>No</t>
  </si>
  <si>
    <t>DRIVE</t>
  </si>
  <si>
    <t>MODE</t>
  </si>
  <si>
    <t>Description</t>
  </si>
  <si>
    <t>Test Sequence</t>
  </si>
  <si>
    <t>Repository</t>
  </si>
  <si>
    <t>Local</t>
  </si>
  <si>
    <t>sumathi</t>
  </si>
  <si>
    <t>D:\Auto_Drive\chromedriver.exe</t>
  </si>
  <si>
    <t>D:\Auto_Drive\Auto_Drive.jar</t>
  </si>
  <si>
    <t>Total TCs Selected</t>
  </si>
  <si>
    <t>Automation Name</t>
  </si>
  <si>
    <t>Device Name</t>
  </si>
  <si>
    <t>Platform Name</t>
  </si>
  <si>
    <t>Platform Version</t>
  </si>
  <si>
    <t>AppName</t>
  </si>
  <si>
    <t>Col10</t>
  </si>
  <si>
    <t>ScrollTo</t>
  </si>
  <si>
    <t>Click by XPath</t>
  </si>
  <si>
    <t>To Click a Xpath provided as parameter</t>
  </si>
  <si>
    <t>Click by ID</t>
  </si>
  <si>
    <t>To Click a ID provided as parameter</t>
  </si>
  <si>
    <t>Click by Text</t>
  </si>
  <si>
    <t>To Click a Text provided as parameter</t>
  </si>
  <si>
    <t>Click by Index</t>
  </si>
  <si>
    <t>Type by Xpath</t>
  </si>
  <si>
    <t>To Type Text on Xpath (both provided as parameter)</t>
  </si>
  <si>
    <t>Provide the Class Name</t>
  </si>
  <si>
    <t>WS</t>
  </si>
  <si>
    <t>Repeatative</t>
  </si>
  <si>
    <t>Amazon_shopping.apk</t>
  </si>
  <si>
    <t>Appiium</t>
  </si>
  <si>
    <t>Redmi</t>
  </si>
  <si>
    <t>Android</t>
  </si>
  <si>
    <t>ae97ca77</t>
  </si>
  <si>
    <t>Device ID</t>
  </si>
  <si>
    <t>com.amazon.mShop.android.shopping:id/rs_search_src_text</t>
  </si>
  <si>
    <t>com.amazon.mShop.android.shopping:id/sign_in_button</t>
  </si>
  <si>
    <t>Click by Classname</t>
  </si>
  <si>
    <t>Type by Classname</t>
  </si>
  <si>
    <t>Provide the Class Name &amp; Text</t>
  </si>
  <si>
    <t>android.view.View</t>
  </si>
  <si>
    <t>XXXXXXXXXXX</t>
  </si>
  <si>
    <t>Type by ID</t>
  </si>
  <si>
    <t>Provide the ID &amp; Text</t>
  </si>
  <si>
    <t>continue</t>
  </si>
  <si>
    <t>ap_password</t>
  </si>
  <si>
    <t>YYYYYYYY</t>
  </si>
  <si>
    <t>signInSubmit</t>
  </si>
  <si>
    <t>android.widget.Button</t>
  </si>
  <si>
    <t>Get Text</t>
  </si>
  <si>
    <t>Provide get class name and Input class name</t>
  </si>
  <si>
    <t>android.widget.Image</t>
  </si>
  <si>
    <t>android.widget.EditText</t>
  </si>
  <si>
    <t>65-inch TV</t>
  </si>
  <si>
    <t>Provide get class name and Index</t>
  </si>
  <si>
    <t>android.widget.LinearLayout</t>
  </si>
  <si>
    <t>Validation</t>
  </si>
  <si>
    <t>Provide get class name and Text value to verify</t>
  </si>
  <si>
    <t>TCL</t>
  </si>
  <si>
    <t>TCL 163.96 cm (65 inches)  AI 4K UHD Certified Android Smart LED TV 65P8 (Black) (2019 Model)</t>
  </si>
  <si>
    <t xml:space="preserve"> Size name: 65 inches </t>
  </si>
  <si>
    <t>Free TV Installation : Installation Added+₹ 0.00per unit</t>
  </si>
  <si>
    <t>rupees 52,999</t>
  </si>
  <si>
    <t>Provide the Class name</t>
  </si>
  <si>
    <t>com.amazon.mShop.android.shopping:id/rs_cart_src_add</t>
  </si>
  <si>
    <t>proceedToCheckout</t>
  </si>
  <si>
    <t>usethisAddress</t>
  </si>
  <si>
    <t>Continue</t>
  </si>
  <si>
    <t>10-2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</si>
</sst>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/mmm/yyyy;@"/>
    <numFmt numFmtId="165" formatCode=";;;**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9"/>
      <color theme="1"/>
      <name val="Baskerville Old Face"/>
      <family val="1"/>
    </font>
    <font>
      <b/>
      <sz val="9"/>
      <color theme="0"/>
      <name val="Bodoni MT"/>
      <family val="1"/>
    </font>
    <font>
      <b/>
      <sz val="9"/>
      <color theme="3"/>
      <name val="Bodoni MT"/>
      <family val="1"/>
    </font>
    <font>
      <b/>
      <sz val="9"/>
      <color theme="3"/>
      <name val="Calibri"/>
      <family val="2"/>
      <scheme val="minor"/>
    </font>
    <font>
      <sz val="9"/>
      <color rgb="FF000000"/>
      <name val="Calibri"/>
      <family val="2"/>
    </font>
    <font>
      <sz val="9"/>
      <color theme="10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u/>
      <sz val="9"/>
      <color theme="0" tint="-0.3499862666707357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17A8E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81B4"/>
        <bgColor indexed="64"/>
      </patternFill>
    </fill>
    <fill>
      <patternFill patternType="solid">
        <fgColor rgb="FFFFB64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7">
    <xf numFmtId="0" fontId="0" fillId="0" borderId="0" xfId="0"/>
    <xf numFmtId="0" fontId="2" fillId="2" borderId="1" xfId="0" applyFont="1" applyFill="1" applyBorder="1"/>
    <xf numFmtId="0" fontId="2" fillId="0" borderId="0" xfId="0" applyFont="1"/>
    <xf numFmtId="0" fontId="2" fillId="2" borderId="1" xfId="0" applyFont="1" applyFill="1" applyBorder="1" applyProtection="1">
      <protection locked="0"/>
    </xf>
    <xf numFmtId="0" fontId="3" fillId="0" borderId="0" xfId="0" applyFont="1" applyFill="1" applyBorder="1" applyAlignment="1">
      <alignment horizontal="center" vertical="center" wrapText="1"/>
    </xf>
    <xf numFmtId="0" fontId="2" fillId="0" borderId="0" xfId="0" applyFont="1" applyProtection="1">
      <protection locked="0"/>
    </xf>
    <xf numFmtId="0" fontId="2" fillId="3" borderId="1" xfId="0" applyFont="1" applyFill="1" applyBorder="1" applyProtection="1">
      <protection locked="0"/>
    </xf>
    <xf numFmtId="0" fontId="6" fillId="2" borderId="1" xfId="0" applyFont="1" applyFill="1" applyBorder="1" applyProtection="1">
      <protection locked="0"/>
    </xf>
    <xf numFmtId="0" fontId="2" fillId="0" borderId="1" xfId="0" applyFont="1" applyBorder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3" borderId="1" xfId="0" applyFont="1" applyFill="1" applyBorder="1" applyAlignment="1" applyProtection="1">
      <protection locked="0"/>
    </xf>
    <xf numFmtId="0" fontId="2" fillId="2" borderId="8" xfId="0" applyFont="1" applyFill="1" applyBorder="1" applyProtection="1">
      <protection locked="0"/>
    </xf>
    <xf numFmtId="0" fontId="2" fillId="0" borderId="0" xfId="0" applyFont="1" applyBorder="1" applyProtection="1">
      <protection locked="0"/>
    </xf>
    <xf numFmtId="0" fontId="7" fillId="4" borderId="1" xfId="0" applyFont="1" applyFill="1" applyBorder="1" applyAlignment="1">
      <alignment horizontal="center" vertical="center"/>
    </xf>
    <xf numFmtId="0" fontId="2" fillId="0" borderId="0" xfId="0" applyFont="1" applyBorder="1"/>
    <xf numFmtId="0" fontId="4" fillId="0" borderId="0" xfId="0" applyFont="1" applyFill="1" applyBorder="1" applyAlignment="1">
      <alignment vertical="center" wrapText="1"/>
    </xf>
    <xf numFmtId="0" fontId="2" fillId="7" borderId="1" xfId="0" applyFont="1" applyFill="1" applyBorder="1"/>
    <xf numFmtId="0" fontId="2" fillId="7" borderId="1" xfId="0" quotePrefix="1" applyFont="1" applyFill="1" applyBorder="1"/>
    <xf numFmtId="0" fontId="2" fillId="5" borderId="1" xfId="0" applyFont="1" applyFill="1" applyBorder="1"/>
    <xf numFmtId="164" fontId="2" fillId="5" borderId="1" xfId="0" applyNumberFormat="1" applyFont="1" applyFill="1" applyBorder="1"/>
    <xf numFmtId="0" fontId="2" fillId="0" borderId="0" xfId="0" applyFont="1" applyFill="1" applyBorder="1"/>
    <xf numFmtId="0" fontId="7" fillId="4" borderId="19" xfId="0" applyFont="1" applyFill="1" applyBorder="1" applyAlignment="1">
      <alignment horizontal="center"/>
    </xf>
    <xf numFmtId="0" fontId="12" fillId="8" borderId="21" xfId="0" applyFont="1" applyFill="1" applyBorder="1" applyAlignment="1">
      <alignment horizontal="center"/>
    </xf>
    <xf numFmtId="0" fontId="12" fillId="11" borderId="21" xfId="0" applyFont="1" applyFill="1" applyBorder="1" applyAlignment="1">
      <alignment horizontal="center"/>
    </xf>
    <xf numFmtId="0" fontId="12" fillId="12" borderId="24" xfId="0" applyFont="1" applyFill="1" applyBorder="1" applyAlignment="1">
      <alignment horizontal="center"/>
    </xf>
    <xf numFmtId="0" fontId="7" fillId="4" borderId="16" xfId="0" applyFont="1" applyFill="1" applyBorder="1" applyAlignment="1">
      <alignment horizontal="center" vertical="center"/>
    </xf>
    <xf numFmtId="0" fontId="2" fillId="0" borderId="4" xfId="0" applyFont="1" applyBorder="1"/>
    <xf numFmtId="0" fontId="13" fillId="0" borderId="0" xfId="0" applyFont="1" applyBorder="1" applyAlignment="1">
      <alignment vertical="center"/>
    </xf>
    <xf numFmtId="0" fontId="8" fillId="0" borderId="0" xfId="1" applyFont="1" applyBorder="1" applyAlignment="1">
      <alignment horizontal="center"/>
    </xf>
    <xf numFmtId="0" fontId="2" fillId="0" borderId="5" xfId="0" applyFont="1" applyBorder="1"/>
    <xf numFmtId="0" fontId="2" fillId="0" borderId="0" xfId="0" quotePrefix="1" applyFont="1" applyBorder="1"/>
    <xf numFmtId="0" fontId="5" fillId="6" borderId="2" xfId="0" applyFont="1" applyFill="1" applyBorder="1" applyAlignment="1">
      <alignment vertical="center"/>
    </xf>
    <xf numFmtId="0" fontId="2" fillId="2" borderId="0" xfId="0" applyFont="1" applyFill="1"/>
    <xf numFmtId="0" fontId="2" fillId="13" borderId="1" xfId="0" applyFont="1" applyFill="1" applyBorder="1" applyAlignment="1">
      <alignment horizontal="center" vertical="center"/>
    </xf>
    <xf numFmtId="0" fontId="2" fillId="13" borderId="12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2" fillId="2" borderId="25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 wrapText="1"/>
    </xf>
    <xf numFmtId="0" fontId="15" fillId="0" borderId="0" xfId="0" applyFont="1"/>
    <xf numFmtId="0" fontId="15" fillId="0" borderId="0" xfId="0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7" fillId="4" borderId="31" xfId="0" applyFont="1" applyFill="1" applyBorder="1" applyAlignment="1">
      <alignment horizontal="center" vertical="center" wrapText="1"/>
    </xf>
    <xf numFmtId="0" fontId="2" fillId="0" borderId="32" xfId="0" applyFont="1" applyBorder="1"/>
    <xf numFmtId="0" fontId="5" fillId="13" borderId="22" xfId="0" applyFont="1" applyFill="1" applyBorder="1" applyAlignment="1">
      <alignment horizontal="center" vertical="center"/>
    </xf>
    <xf numFmtId="0" fontId="5" fillId="13" borderId="23" xfId="0" applyFont="1" applyFill="1" applyBorder="1" applyAlignment="1">
      <alignment horizontal="center" vertical="center"/>
    </xf>
    <xf numFmtId="0" fontId="5" fillId="13" borderId="24" xfId="0" applyFont="1" applyFill="1" applyBorder="1" applyAlignment="1">
      <alignment horizontal="center" vertical="center"/>
    </xf>
    <xf numFmtId="0" fontId="16" fillId="3" borderId="26" xfId="0" applyFont="1" applyFill="1" applyBorder="1" applyAlignment="1">
      <alignment vertical="center"/>
    </xf>
    <xf numFmtId="0" fontId="7" fillId="4" borderId="17" xfId="0" applyFont="1" applyFill="1" applyBorder="1" applyAlignment="1">
      <alignment horizontal="center" vertical="center" wrapText="1"/>
    </xf>
    <xf numFmtId="0" fontId="7" fillId="4" borderId="18" xfId="0" applyFont="1" applyFill="1" applyBorder="1" applyAlignment="1">
      <alignment horizontal="center" vertical="center" wrapText="1"/>
    </xf>
    <xf numFmtId="0" fontId="2" fillId="0" borderId="22" xfId="0" applyFont="1" applyBorder="1"/>
    <xf numFmtId="0" fontId="2" fillId="0" borderId="1" xfId="0" applyFont="1" applyBorder="1"/>
    <xf numFmtId="0" fontId="2" fillId="0" borderId="0" xfId="0" applyFont="1" applyFill="1"/>
    <xf numFmtId="0" fontId="17" fillId="14" borderId="25" xfId="0" applyFont="1" applyFill="1" applyBorder="1" applyAlignment="1">
      <alignment horizontal="center" vertical="center"/>
    </xf>
    <xf numFmtId="0" fontId="2" fillId="0" borderId="8" xfId="0" applyFont="1" applyBorder="1" applyProtection="1">
      <protection locked="0"/>
    </xf>
    <xf numFmtId="165" fontId="1" fillId="0" borderId="1" xfId="1" applyNumberFormat="1" applyBorder="1" applyProtection="1">
      <protection locked="0" hidden="1"/>
    </xf>
    <xf numFmtId="0" fontId="2" fillId="0" borderId="1" xfId="0" applyFont="1" applyFill="1" applyBorder="1"/>
    <xf numFmtId="165" fontId="1" fillId="0" borderId="10" xfId="1" applyNumberFormat="1" applyBorder="1" applyProtection="1">
      <protection locked="0" hidden="1"/>
    </xf>
    <xf numFmtId="0" fontId="6" fillId="2" borderId="10" xfId="0" applyFont="1" applyFill="1" applyBorder="1" applyProtection="1">
      <protection locked="0"/>
    </xf>
    <xf numFmtId="0" fontId="5" fillId="0" borderId="0" xfId="0" applyFont="1" applyFill="1" applyBorder="1" applyAlignment="1">
      <alignment vertical="center"/>
    </xf>
    <xf numFmtId="0" fontId="2" fillId="0" borderId="0" xfId="0" applyFont="1" applyFill="1" applyBorder="1" applyAlignment="1"/>
    <xf numFmtId="0" fontId="2" fillId="0" borderId="0" xfId="0" applyFont="1" applyFill="1" applyBorder="1" applyProtection="1">
      <protection locked="0"/>
    </xf>
    <xf numFmtId="0" fontId="5" fillId="6" borderId="1" xfId="0" applyFont="1" applyFill="1" applyBorder="1" applyAlignment="1">
      <alignment vertical="center"/>
    </xf>
    <xf numFmtId="0" fontId="2" fillId="3" borderId="1" xfId="0" applyFont="1" applyFill="1" applyBorder="1" applyAlignment="1"/>
    <xf numFmtId="0" fontId="2" fillId="3" borderId="8" xfId="0" applyFont="1" applyFill="1" applyBorder="1" applyAlignment="1" applyProtection="1">
      <alignment horizontal="left"/>
      <protection locked="0"/>
    </xf>
    <xf numFmtId="0" fontId="2" fillId="3" borderId="9" xfId="0" applyFont="1" applyFill="1" applyBorder="1" applyAlignment="1" applyProtection="1">
      <alignment horizontal="left"/>
      <protection locked="0"/>
    </xf>
    <xf numFmtId="0" fontId="2" fillId="3" borderId="38" xfId="0" applyFont="1" applyFill="1" applyBorder="1" applyAlignment="1" applyProtection="1">
      <alignment horizontal="left"/>
      <protection locked="0"/>
    </xf>
    <xf numFmtId="0" fontId="2" fillId="3" borderId="39" xfId="0" applyFont="1" applyFill="1" applyBorder="1" applyAlignment="1" applyProtection="1">
      <alignment horizontal="left"/>
      <protection locked="0"/>
    </xf>
    <xf numFmtId="0" fontId="2" fillId="3" borderId="12" xfId="0" applyFont="1" applyFill="1" applyBorder="1" applyAlignment="1" applyProtection="1">
      <protection locked="0"/>
    </xf>
    <xf numFmtId="0" fontId="18" fillId="15" borderId="0" xfId="0" applyFont="1" applyFill="1" applyAlignment="1">
      <alignment horizontal="center" vertical="center"/>
    </xf>
    <xf numFmtId="0" fontId="2" fillId="0" borderId="10" xfId="0" applyFont="1" applyBorder="1" applyProtection="1">
      <protection locked="0"/>
    </xf>
    <xf numFmtId="0" fontId="2" fillId="0" borderId="0" xfId="0" applyFont="1" applyBorder="1" applyAlignment="1">
      <alignment wrapText="1"/>
    </xf>
    <xf numFmtId="0" fontId="2" fillId="0" borderId="0" xfId="0" applyFont="1" applyAlignment="1"/>
    <xf numFmtId="0" fontId="2" fillId="0" borderId="0" xfId="0" applyNumberFormat="1" applyFont="1" applyBorder="1" applyAlignment="1">
      <alignment wrapText="1"/>
    </xf>
    <xf numFmtId="0" fontId="2" fillId="0" borderId="0" xfId="0" applyFont="1" applyBorder="1" applyAlignment="1"/>
    <xf numFmtId="0" fontId="7" fillId="16" borderId="1" xfId="0" applyFont="1" applyFill="1" applyBorder="1" applyProtection="1">
      <protection locked="0"/>
    </xf>
    <xf numFmtId="0" fontId="15" fillId="0" borderId="1" xfId="0" applyFont="1" applyBorder="1"/>
    <xf numFmtId="0" fontId="15" fillId="0" borderId="1" xfId="0" applyFont="1" applyBorder="1" applyProtection="1">
      <protection locked="0"/>
    </xf>
    <xf numFmtId="0" fontId="2" fillId="3" borderId="1" xfId="0" applyFont="1" applyFill="1" applyBorder="1"/>
    <xf numFmtId="0" fontId="1" fillId="0" borderId="1" xfId="1" applyFill="1" applyBorder="1"/>
    <xf numFmtId="0" fontId="1" fillId="0" borderId="0" xfId="1" applyFill="1"/>
    <xf numFmtId="0" fontId="1" fillId="0" borderId="1" xfId="1" applyBorder="1" applyProtection="1">
      <protection locked="0"/>
    </xf>
    <xf numFmtId="0" fontId="19" fillId="0" borderId="0" xfId="1" applyFont="1" applyBorder="1" applyAlignment="1">
      <alignment horizontal="center"/>
    </xf>
    <xf numFmtId="0" fontId="14" fillId="0" borderId="0" xfId="1" quotePrefix="1" applyFont="1" applyBorder="1" applyAlignment="1">
      <alignment wrapText="1"/>
    </xf>
    <xf numFmtId="0" fontId="4" fillId="5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 wrapText="1"/>
    </xf>
    <xf numFmtId="0" fontId="2" fillId="2" borderId="29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7" fillId="4" borderId="13" xfId="0" applyFont="1" applyFill="1" applyBorder="1" applyAlignment="1">
      <alignment horizontal="left" vertical="center"/>
    </xf>
    <xf numFmtId="0" fontId="7" fillId="4" borderId="14" xfId="0" applyFont="1" applyFill="1" applyBorder="1" applyAlignment="1">
      <alignment horizontal="left" vertical="center"/>
    </xf>
    <xf numFmtId="0" fontId="7" fillId="4" borderId="15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34" xfId="0" applyFont="1" applyFill="1" applyBorder="1" applyAlignment="1">
      <alignment horizontal="center" vertical="center" wrapText="1"/>
    </xf>
    <xf numFmtId="0" fontId="7" fillId="4" borderId="35" xfId="0" applyFont="1" applyFill="1" applyBorder="1" applyAlignment="1">
      <alignment horizontal="center" vertical="center" wrapText="1"/>
    </xf>
    <xf numFmtId="0" fontId="7" fillId="4" borderId="36" xfId="0" applyFont="1" applyFill="1" applyBorder="1" applyAlignment="1">
      <alignment horizontal="center" vertical="center" wrapText="1"/>
    </xf>
    <xf numFmtId="0" fontId="7" fillId="4" borderId="33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6" fillId="5" borderId="37" xfId="0" applyFont="1" applyFill="1" applyBorder="1" applyAlignment="1">
      <alignment horizontal="center" vertical="center"/>
    </xf>
    <xf numFmtId="0" fontId="6" fillId="5" borderId="26" xfId="0" applyFont="1" applyFill="1" applyBorder="1" applyAlignment="1">
      <alignment horizontal="center" vertical="center"/>
    </xf>
    <xf numFmtId="0" fontId="11" fillId="12" borderId="22" xfId="0" applyFont="1" applyFill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2" fillId="10" borderId="12" xfId="0" applyFont="1" applyFill="1" applyBorder="1" applyAlignment="1">
      <alignment horizontal="center"/>
    </xf>
    <xf numFmtId="0" fontId="2" fillId="9" borderId="22" xfId="0" applyFont="1" applyFill="1" applyBorder="1" applyAlignment="1">
      <alignment horizontal="center"/>
    </xf>
    <xf numFmtId="0" fontId="2" fillId="9" borderId="23" xfId="0" applyFont="1" applyFill="1" applyBorder="1" applyAlignment="1">
      <alignment horizontal="center"/>
    </xf>
    <xf numFmtId="0" fontId="2" fillId="9" borderId="24" xfId="0" applyFont="1" applyFill="1" applyBorder="1" applyAlignment="1">
      <alignment horizontal="center"/>
    </xf>
    <xf numFmtId="0" fontId="2" fillId="9" borderId="20" xfId="0" applyFont="1" applyFill="1" applyBorder="1" applyAlignment="1">
      <alignment horizontal="center"/>
    </xf>
    <xf numFmtId="0" fontId="2" fillId="9" borderId="2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9" borderId="17" xfId="0" applyFont="1" applyFill="1" applyBorder="1" applyAlignment="1">
      <alignment horizontal="center"/>
    </xf>
    <xf numFmtId="0" fontId="2" fillId="9" borderId="18" xfId="0" applyFont="1" applyFill="1" applyBorder="1" applyAlignment="1">
      <alignment horizontal="center"/>
    </xf>
    <xf numFmtId="0" fontId="2" fillId="9" borderId="19" xfId="0" applyFont="1" applyFill="1" applyBorder="1" applyAlignment="1">
      <alignment horizontal="center"/>
    </xf>
    <xf numFmtId="0" fontId="9" fillId="10" borderId="1" xfId="0" applyFont="1" applyFill="1" applyBorder="1" applyAlignment="1">
      <alignment horizontal="center"/>
    </xf>
    <xf numFmtId="0" fontId="9" fillId="10" borderId="16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10" fillId="4" borderId="18" xfId="0" applyFont="1" applyFill="1" applyBorder="1" applyAlignment="1">
      <alignment horizontal="center"/>
    </xf>
    <xf numFmtId="0" fontId="11" fillId="8" borderId="20" xfId="0" applyFont="1" applyFill="1" applyBorder="1" applyAlignment="1">
      <alignment horizontal="center"/>
    </xf>
    <xf numFmtId="0" fontId="11" fillId="8" borderId="1" xfId="0" applyFont="1" applyFill="1" applyBorder="1" applyAlignment="1">
      <alignment horizontal="center"/>
    </xf>
    <xf numFmtId="0" fontId="11" fillId="11" borderId="20" xfId="0" applyFont="1" applyFill="1" applyBorder="1" applyAlignment="1">
      <alignment horizontal="center"/>
    </xf>
    <xf numFmtId="0" fontId="11" fillId="11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56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B5B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B5B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B5B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B5B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99FFCC"/>
      <color rgb="FF33CCCC"/>
      <color rgb="FF9A57CD"/>
      <color rgb="FFFF5B5B"/>
      <color rgb="FFFFFF99"/>
      <color rgb="FFFF81B4"/>
      <color rgb="FFF5A1EF"/>
      <color rgb="FF17A8E9"/>
      <color rgb="FFFFB64B"/>
      <color rgb="FFBCB6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95053</xdr:colOff>
      <xdr:row>0</xdr:row>
      <xdr:rowOff>47147</xdr:rowOff>
    </xdr:from>
    <xdr:to>
      <xdr:col>9</xdr:col>
      <xdr:colOff>171646</xdr:colOff>
      <xdr:row>1</xdr:row>
      <xdr:rowOff>114775</xdr:rowOff>
    </xdr:to>
    <xdr:sp macro="[0]!Reset_Drive_ButtonClick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1600-000002000000}"/>
            </a:ext>
          </a:extLst>
        </xdr:cNvPr>
        <xdr:cNvSpPr/>
      </xdr:nvSpPr>
      <xdr:spPr>
        <a:xfrm>
          <a:off x="11067853" y="47147"/>
          <a:ext cx="1029093" cy="220028"/>
        </a:xfrm>
        <a:prstGeom prst="roundRect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Reset Drive</a:t>
          </a:r>
        </a:p>
      </xdr:txBody>
    </xdr:sp>
    <xdr:clientData/>
  </xdr:twoCellAnchor>
  <xdr:twoCellAnchor>
    <xdr:from>
      <xdr:col>9</xdr:col>
      <xdr:colOff>358053</xdr:colOff>
      <xdr:row>0</xdr:row>
      <xdr:rowOff>38100</xdr:rowOff>
    </xdr:from>
    <xdr:to>
      <xdr:col>11</xdr:col>
      <xdr:colOff>22946</xdr:colOff>
      <xdr:row>1</xdr:row>
      <xdr:rowOff>95250</xdr:rowOff>
    </xdr:to>
    <xdr:sp macro="[0]!Drive_Execute_Button_Click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1600-000003000000}"/>
            </a:ext>
          </a:extLst>
        </xdr:cNvPr>
        <xdr:cNvSpPr/>
      </xdr:nvSpPr>
      <xdr:spPr>
        <a:xfrm>
          <a:off x="12283353" y="38100"/>
          <a:ext cx="1379393" cy="209550"/>
        </a:xfrm>
        <a:prstGeom prst="roundRect">
          <a:avLst/>
        </a:prstGeom>
        <a:ln>
          <a:solidFill>
            <a:srgbClr val="FF0000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Execute</a:t>
          </a:r>
          <a:r>
            <a:rPr lang="en-US" sz="11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Drive</a:t>
          </a:r>
          <a:endParaRPr lang="en-US" sz="11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51461</xdr:colOff>
      <xdr:row>3</xdr:row>
      <xdr:rowOff>47625</xdr:rowOff>
    </xdr:from>
    <xdr:to>
      <xdr:col>11</xdr:col>
      <xdr:colOff>500989</xdr:colOff>
      <xdr:row>4</xdr:row>
      <xdr:rowOff>104775</xdr:rowOff>
    </xdr:to>
    <xdr:sp macro="[0]!SaveDriveTestCase_ButtonClick" textlink="">
      <xdr:nvSpPr>
        <xdr:cNvPr id="4" name="Rounded Rectangle 3">
          <a:extLst>
            <a:ext uri="{FF2B5EF4-FFF2-40B4-BE49-F238E27FC236}">
              <a16:creationId xmlns="" xmlns:a16="http://schemas.microsoft.com/office/drawing/2014/main" id="{00000000-0008-0000-1600-000004000000}"/>
            </a:ext>
          </a:extLst>
        </xdr:cNvPr>
        <xdr:cNvSpPr/>
      </xdr:nvSpPr>
      <xdr:spPr>
        <a:xfrm>
          <a:off x="12992761" y="517525"/>
          <a:ext cx="1148028" cy="209550"/>
        </a:xfrm>
        <a:prstGeom prst="roundRect">
          <a:avLst/>
        </a:prstGeom>
        <a:ln>
          <a:solidFill>
            <a:srgbClr val="7030A0"/>
          </a:solidFill>
        </a:ln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Save Test Case</a:t>
          </a:r>
        </a:p>
      </xdr:txBody>
    </xdr:sp>
    <xdr:clientData/>
  </xdr:twoCellAnchor>
  <xdr:twoCellAnchor>
    <xdr:from>
      <xdr:col>10</xdr:col>
      <xdr:colOff>71080</xdr:colOff>
      <xdr:row>7</xdr:row>
      <xdr:rowOff>55615</xdr:rowOff>
    </xdr:from>
    <xdr:to>
      <xdr:col>11</xdr:col>
      <xdr:colOff>466493</xdr:colOff>
      <xdr:row>8</xdr:row>
      <xdr:rowOff>102376</xdr:rowOff>
    </xdr:to>
    <xdr:sp macro="[0]!GetDriveTestCase_ButtonClick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1600-000006000000}"/>
            </a:ext>
          </a:extLst>
        </xdr:cNvPr>
        <xdr:cNvSpPr/>
      </xdr:nvSpPr>
      <xdr:spPr>
        <a:xfrm>
          <a:off x="13012380" y="1160515"/>
          <a:ext cx="1093913" cy="199161"/>
        </a:xfrm>
        <a:prstGeom prst="roundRect">
          <a:avLst/>
        </a:prstGeom>
        <a:ln>
          <a:solidFill>
            <a:srgbClr val="FF81B4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Get Test Case</a:t>
          </a:r>
        </a:p>
      </xdr:txBody>
    </xdr:sp>
    <xdr:clientData/>
  </xdr:twoCellAnchor>
  <xdr:twoCellAnchor>
    <xdr:from>
      <xdr:col>8</xdr:col>
      <xdr:colOff>85725</xdr:colOff>
      <xdr:row>10</xdr:row>
      <xdr:rowOff>38100</xdr:rowOff>
    </xdr:from>
    <xdr:to>
      <xdr:col>9</xdr:col>
      <xdr:colOff>180975</xdr:colOff>
      <xdr:row>11</xdr:row>
      <xdr:rowOff>142875</xdr:rowOff>
    </xdr:to>
    <xdr:sp macro="[0]!Drive_InsertRow" textlink="">
      <xdr:nvSpPr>
        <xdr:cNvPr id="6" name="Rectangle: Rounded Corners 4">
          <a:extLst>
            <a:ext uri="{FF2B5EF4-FFF2-40B4-BE49-F238E27FC236}">
              <a16:creationId xmlns="" xmlns:a16="http://schemas.microsoft.com/office/drawing/2014/main" id="{C358CC45-BBB4-4D74-8298-38ECC37E0C98}"/>
            </a:ext>
          </a:extLst>
        </xdr:cNvPr>
        <xdr:cNvSpPr/>
      </xdr:nvSpPr>
      <xdr:spPr>
        <a:xfrm>
          <a:off x="11058525" y="1612900"/>
          <a:ext cx="1047750" cy="25717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Insert Row</a:t>
          </a:r>
        </a:p>
      </xdr:txBody>
    </xdr:sp>
    <xdr:clientData/>
  </xdr:twoCellAnchor>
  <xdr:twoCellAnchor>
    <xdr:from>
      <xdr:col>9</xdr:col>
      <xdr:colOff>390525</xdr:colOff>
      <xdr:row>10</xdr:row>
      <xdr:rowOff>28575</xdr:rowOff>
    </xdr:from>
    <xdr:to>
      <xdr:col>10</xdr:col>
      <xdr:colOff>485775</xdr:colOff>
      <xdr:row>11</xdr:row>
      <xdr:rowOff>133350</xdr:rowOff>
    </xdr:to>
    <xdr:sp macro="[0]!Drive_DeleteRow" textlink="">
      <xdr:nvSpPr>
        <xdr:cNvPr id="7" name="Rectangle: Rounded Corners 6">
          <a:extLst>
            <a:ext uri="{FF2B5EF4-FFF2-40B4-BE49-F238E27FC236}">
              <a16:creationId xmlns="" xmlns:a16="http://schemas.microsoft.com/office/drawing/2014/main" id="{94000A0D-4B4D-4F90-920F-C1B59D49F606}"/>
            </a:ext>
          </a:extLst>
        </xdr:cNvPr>
        <xdr:cNvSpPr/>
      </xdr:nvSpPr>
      <xdr:spPr>
        <a:xfrm>
          <a:off x="12315825" y="1603375"/>
          <a:ext cx="1111250" cy="25717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/>
            <a:t>Delete Row</a:t>
          </a:r>
        </a:p>
      </xdr:txBody>
    </xdr:sp>
    <xdr:clientData/>
  </xdr:twoCellAnchor>
  <xdr:twoCellAnchor>
    <xdr:from>
      <xdr:col>8</xdr:col>
      <xdr:colOff>85725</xdr:colOff>
      <xdr:row>11</xdr:row>
      <xdr:rowOff>38100</xdr:rowOff>
    </xdr:from>
    <xdr:to>
      <xdr:col>9</xdr:col>
      <xdr:colOff>180975</xdr:colOff>
      <xdr:row>12</xdr:row>
      <xdr:rowOff>142875</xdr:rowOff>
    </xdr:to>
    <xdr:sp macro="[0]!Drive_InsertRow" textlink="">
      <xdr:nvSpPr>
        <xdr:cNvPr id="8" name="Rectangle: Rounded Corners 4">
          <a:extLst>
            <a:ext uri="{FF2B5EF4-FFF2-40B4-BE49-F238E27FC236}">
              <a16:creationId xmlns="" xmlns:a16="http://schemas.microsoft.com/office/drawing/2014/main" id="{C358CC45-BBB4-4D74-8298-38ECC37E0C98}"/>
            </a:ext>
          </a:extLst>
        </xdr:cNvPr>
        <xdr:cNvSpPr/>
      </xdr:nvSpPr>
      <xdr:spPr>
        <a:xfrm>
          <a:off x="11060642" y="1604433"/>
          <a:ext cx="1047750" cy="25294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Insert Row</a:t>
          </a:r>
        </a:p>
      </xdr:txBody>
    </xdr:sp>
    <xdr:clientData/>
  </xdr:twoCellAnchor>
  <xdr:twoCellAnchor>
    <xdr:from>
      <xdr:col>9</xdr:col>
      <xdr:colOff>390525</xdr:colOff>
      <xdr:row>11</xdr:row>
      <xdr:rowOff>28575</xdr:rowOff>
    </xdr:from>
    <xdr:to>
      <xdr:col>10</xdr:col>
      <xdr:colOff>485775</xdr:colOff>
      <xdr:row>12</xdr:row>
      <xdr:rowOff>133350</xdr:rowOff>
    </xdr:to>
    <xdr:sp macro="[0]!Drive_DeleteRow" textlink="">
      <xdr:nvSpPr>
        <xdr:cNvPr id="9" name="Rectangle: Rounded Corners 6">
          <a:extLst>
            <a:ext uri="{FF2B5EF4-FFF2-40B4-BE49-F238E27FC236}">
              <a16:creationId xmlns="" xmlns:a16="http://schemas.microsoft.com/office/drawing/2014/main" id="{94000A0D-4B4D-4F90-920F-C1B59D49F606}"/>
            </a:ext>
          </a:extLst>
        </xdr:cNvPr>
        <xdr:cNvSpPr/>
      </xdr:nvSpPr>
      <xdr:spPr>
        <a:xfrm>
          <a:off x="12317942" y="1594908"/>
          <a:ext cx="1111250" cy="252942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/>
            <a:t>Delete 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131560</xdr:colOff>
      <xdr:row>0</xdr:row>
      <xdr:rowOff>61676</xdr:rowOff>
    </xdr:from>
    <xdr:to>
      <xdr:col>23</xdr:col>
      <xdr:colOff>659016</xdr:colOff>
      <xdr:row>0</xdr:row>
      <xdr:rowOff>233598</xdr:rowOff>
    </xdr:to>
    <xdr:sp macro="[0]!GetAllTestCasesList_ButtonClick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SpPr/>
      </xdr:nvSpPr>
      <xdr:spPr>
        <a:xfrm>
          <a:off x="9018385" y="61676"/>
          <a:ext cx="1432331" cy="17192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 cap="none" spc="0">
              <a:ln w="0">
                <a:solidFill>
                  <a:srgbClr val="FFFF00"/>
                </a:solidFill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Get</a:t>
          </a:r>
          <a:r>
            <a:rPr lang="en-US" sz="1100" b="0" cap="none" spc="0" baseline="0">
              <a:ln w="0">
                <a:solidFill>
                  <a:srgbClr val="FFFF00"/>
                </a:solidFill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 All Test Cases List</a:t>
          </a:r>
          <a:endParaRPr lang="en-US" sz="1100" b="0" cap="none" spc="0">
            <a:ln w="0">
              <a:solidFill>
                <a:srgbClr val="FFFF00"/>
              </a:solidFill>
            </a:ln>
            <a:solidFill>
              <a:schemeClr val="tx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23</xdr:col>
      <xdr:colOff>610499</xdr:colOff>
      <xdr:row>1</xdr:row>
      <xdr:rowOff>22098</xdr:rowOff>
    </xdr:from>
    <xdr:to>
      <xdr:col>24</xdr:col>
      <xdr:colOff>646802</xdr:colOff>
      <xdr:row>2</xdr:row>
      <xdr:rowOff>54102</xdr:rowOff>
    </xdr:to>
    <xdr:sp macro="[0]!Execute_Sequence_TestCases_ButtonClick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1800-000003000000}"/>
            </a:ext>
          </a:extLst>
        </xdr:cNvPr>
        <xdr:cNvSpPr/>
      </xdr:nvSpPr>
      <xdr:spPr>
        <a:xfrm>
          <a:off x="10402199" y="355473"/>
          <a:ext cx="1293603" cy="174879"/>
        </a:xfrm>
        <a:prstGeom prst="roundRect">
          <a:avLst/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lin ang="2700000" scaled="1"/>
          <a:tileRect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22</xdr:col>
      <xdr:colOff>114586</xdr:colOff>
      <xdr:row>1</xdr:row>
      <xdr:rowOff>22098</xdr:rowOff>
    </xdr:from>
    <xdr:to>
      <xdr:col>23</xdr:col>
      <xdr:colOff>523590</xdr:colOff>
      <xdr:row>2</xdr:row>
      <xdr:rowOff>54102</xdr:rowOff>
    </xdr:to>
    <xdr:sp macro="[0]!Execute_Selective_TestCases_ButtonClick" textlink="">
      <xdr:nvSpPr>
        <xdr:cNvPr id="4" name="Rounded Rectangle 3">
          <a:extLst>
            <a:ext uri="{FF2B5EF4-FFF2-40B4-BE49-F238E27FC236}">
              <a16:creationId xmlns="" xmlns:a16="http://schemas.microsoft.com/office/drawing/2014/main" id="{00000000-0008-0000-1800-000004000000}"/>
            </a:ext>
          </a:extLst>
        </xdr:cNvPr>
        <xdr:cNvSpPr/>
      </xdr:nvSpPr>
      <xdr:spPr>
        <a:xfrm>
          <a:off x="9297663" y="354252"/>
          <a:ext cx="1434773" cy="168773"/>
        </a:xfrm>
        <a:prstGeom prst="roundRect">
          <a:avLst/>
        </a:prstGeom>
        <a:solidFill>
          <a:srgbClr val="33CCCC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333375</xdr:colOff>
      <xdr:row>0</xdr:row>
      <xdr:rowOff>39714</xdr:rowOff>
    </xdr:from>
    <xdr:to>
      <xdr:col>2</xdr:col>
      <xdr:colOff>1524000</xdr:colOff>
      <xdr:row>0</xdr:row>
      <xdr:rowOff>236511</xdr:rowOff>
    </xdr:to>
    <xdr:sp macro="[0]!Execute_All_Drive_TestCases_ButtonClick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1800-000005000000}"/>
            </a:ext>
          </a:extLst>
        </xdr:cNvPr>
        <xdr:cNvSpPr/>
      </xdr:nvSpPr>
      <xdr:spPr>
        <a:xfrm>
          <a:off x="923925" y="39714"/>
          <a:ext cx="1190625" cy="196797"/>
        </a:xfrm>
        <a:prstGeom prst="roundRect">
          <a:avLst/>
        </a:prstGeom>
        <a:solidFill>
          <a:srgbClr val="FFFF99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Execute</a:t>
          </a:r>
          <a:r>
            <a:rPr lang="en-US" sz="1100" b="1" baseline="0">
              <a:solidFill>
                <a:srgbClr val="FF0000"/>
              </a:solidFill>
            </a:rPr>
            <a:t> All Drive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47625</xdr:colOff>
      <xdr:row>0</xdr:row>
      <xdr:rowOff>39714</xdr:rowOff>
    </xdr:from>
    <xdr:to>
      <xdr:col>9</xdr:col>
      <xdr:colOff>1514475</xdr:colOff>
      <xdr:row>0</xdr:row>
      <xdr:rowOff>247650</xdr:rowOff>
    </xdr:to>
    <xdr:sp macro="[0]!Execute_All_Repetative_TestCases_ButtonClick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1800-000006000000}"/>
            </a:ext>
          </a:extLst>
        </xdr:cNvPr>
        <xdr:cNvSpPr/>
      </xdr:nvSpPr>
      <xdr:spPr>
        <a:xfrm>
          <a:off x="3286125" y="39714"/>
          <a:ext cx="1466850" cy="207936"/>
        </a:xfrm>
        <a:prstGeom prst="roundRect">
          <a:avLst/>
        </a:prstGeom>
        <a:solidFill>
          <a:srgbClr val="FFFF99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0000"/>
              </a:solidFill>
            </a:rPr>
            <a:t>Execute All Repeatative</a:t>
          </a:r>
        </a:p>
      </xdr:txBody>
    </xdr:sp>
    <xdr:clientData/>
  </xdr:twoCellAnchor>
  <xdr:twoCellAnchor>
    <xdr:from>
      <xdr:col>15</xdr:col>
      <xdr:colOff>0</xdr:colOff>
      <xdr:row>0</xdr:row>
      <xdr:rowOff>39714</xdr:rowOff>
    </xdr:from>
    <xdr:to>
      <xdr:col>16</xdr:col>
      <xdr:colOff>1066800</xdr:colOff>
      <xdr:row>0</xdr:row>
      <xdr:rowOff>236511</xdr:rowOff>
    </xdr:to>
    <xdr:sp macro="[0]!Execute_All_Excel_TestCases_ButtonClick" textlink="">
      <xdr:nvSpPr>
        <xdr:cNvPr id="7" name="Rounded Rectangle 6">
          <a:extLst>
            <a:ext uri="{FF2B5EF4-FFF2-40B4-BE49-F238E27FC236}">
              <a16:creationId xmlns="" xmlns:a16="http://schemas.microsoft.com/office/drawing/2014/main" id="{00000000-0008-0000-1800-000007000000}"/>
            </a:ext>
          </a:extLst>
        </xdr:cNvPr>
        <xdr:cNvSpPr/>
      </xdr:nvSpPr>
      <xdr:spPr>
        <a:xfrm>
          <a:off x="5362575" y="39714"/>
          <a:ext cx="1343025" cy="196797"/>
        </a:xfrm>
        <a:prstGeom prst="roundRect">
          <a:avLst/>
        </a:prstGeom>
        <a:solidFill>
          <a:srgbClr val="FFFF99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Execute All Excel</a:t>
          </a:r>
        </a:p>
      </xdr:txBody>
    </xdr:sp>
    <xdr:clientData/>
  </xdr:twoCellAnchor>
  <xdr:twoCellAnchor>
    <xdr:from>
      <xdr:col>23</xdr:col>
      <xdr:colOff>736283</xdr:colOff>
      <xdr:row>0</xdr:row>
      <xdr:rowOff>60198</xdr:rowOff>
    </xdr:from>
    <xdr:to>
      <xdr:col>25</xdr:col>
      <xdr:colOff>368618</xdr:colOff>
      <xdr:row>0</xdr:row>
      <xdr:rowOff>244602</xdr:rowOff>
    </xdr:to>
    <xdr:sp macro="[0]!Execute_All_TestCases_ButtonClick" textlink="">
      <xdr:nvSpPr>
        <xdr:cNvPr id="8" name="Rounded Rectangle 7">
          <a:extLst>
            <a:ext uri="{FF2B5EF4-FFF2-40B4-BE49-F238E27FC236}">
              <a16:creationId xmlns="" xmlns:a16="http://schemas.microsoft.com/office/drawing/2014/main" id="{00000000-0008-0000-1800-000008000000}"/>
            </a:ext>
          </a:extLst>
        </xdr:cNvPr>
        <xdr:cNvSpPr/>
      </xdr:nvSpPr>
      <xdr:spPr>
        <a:xfrm>
          <a:off x="10527983" y="60198"/>
          <a:ext cx="1556385" cy="184404"/>
        </a:xfrm>
        <a:prstGeom prst="roundRect">
          <a:avLst/>
        </a:prstGeom>
        <a:solidFill>
          <a:srgbClr val="9A57C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Execute All Test Cases</a:t>
          </a:r>
        </a:p>
      </xdr:txBody>
    </xdr:sp>
    <xdr:clientData/>
  </xdr:twoCellAnchor>
  <xdr:twoCellAnchor>
    <xdr:from>
      <xdr:col>24</xdr:col>
      <xdr:colOff>48863</xdr:colOff>
      <xdr:row>3</xdr:row>
      <xdr:rowOff>130831</xdr:rowOff>
    </xdr:from>
    <xdr:to>
      <xdr:col>25</xdr:col>
      <xdr:colOff>465487</xdr:colOff>
      <xdr:row>5</xdr:row>
      <xdr:rowOff>2519</xdr:rowOff>
    </xdr:to>
    <xdr:sp macro="[0]!SaveSequence_ButtonClick" textlink="">
      <xdr:nvSpPr>
        <xdr:cNvPr id="11" name="Rounded Rectangle 10">
          <a:extLst>
            <a:ext uri="{FF2B5EF4-FFF2-40B4-BE49-F238E27FC236}">
              <a16:creationId xmlns="" xmlns:a16="http://schemas.microsoft.com/office/drawing/2014/main" id="{00000000-0008-0000-1800-00000B000000}"/>
            </a:ext>
          </a:extLst>
        </xdr:cNvPr>
        <xdr:cNvSpPr/>
      </xdr:nvSpPr>
      <xdr:spPr>
        <a:xfrm>
          <a:off x="11297888" y="749956"/>
          <a:ext cx="1083374" cy="157438"/>
        </a:xfrm>
        <a:prstGeom prst="roundRect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24</xdr:col>
      <xdr:colOff>48863</xdr:colOff>
      <xdr:row>5</xdr:row>
      <xdr:rowOff>130831</xdr:rowOff>
    </xdr:from>
    <xdr:to>
      <xdr:col>25</xdr:col>
      <xdr:colOff>465487</xdr:colOff>
      <xdr:row>7</xdr:row>
      <xdr:rowOff>2519</xdr:rowOff>
    </xdr:to>
    <xdr:sp macro="[0]!GetSequence_ButtonClick" textlink="">
      <xdr:nvSpPr>
        <xdr:cNvPr id="12" name="Rounded Rectangle 11">
          <a:extLst>
            <a:ext uri="{FF2B5EF4-FFF2-40B4-BE49-F238E27FC236}">
              <a16:creationId xmlns="" xmlns:a16="http://schemas.microsoft.com/office/drawing/2014/main" id="{00000000-0008-0000-1800-00000C000000}"/>
            </a:ext>
          </a:extLst>
        </xdr:cNvPr>
        <xdr:cNvSpPr/>
      </xdr:nvSpPr>
      <xdr:spPr>
        <a:xfrm>
          <a:off x="11297888" y="1035706"/>
          <a:ext cx="1083374" cy="157438"/>
        </a:xfrm>
        <a:prstGeom prst="roundRect">
          <a:avLst/>
        </a:prstGeom>
        <a:solidFill>
          <a:srgbClr val="99FFCC"/>
        </a:solidFill>
        <a:ln>
          <a:solidFill>
            <a:srgbClr val="FF0000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76200</xdr:colOff>
      <xdr:row>8</xdr:row>
      <xdr:rowOff>131906</xdr:rowOff>
    </xdr:from>
    <xdr:to>
      <xdr:col>20</xdr:col>
      <xdr:colOff>57150</xdr:colOff>
      <xdr:row>10</xdr:row>
      <xdr:rowOff>10969</xdr:rowOff>
    </xdr:to>
    <xdr:sp macro="[0]!Reset_Sequence_ButtonClick" textlink="">
      <xdr:nvSpPr>
        <xdr:cNvPr id="9" name="Rounded Rectangle 8">
          <a:extLst>
            <a:ext uri="{FF2B5EF4-FFF2-40B4-BE49-F238E27FC236}">
              <a16:creationId xmlns="" xmlns:a16="http://schemas.microsoft.com/office/drawing/2014/main" id="{00000000-0008-0000-1800-000009000000}"/>
            </a:ext>
          </a:extLst>
        </xdr:cNvPr>
        <xdr:cNvSpPr/>
      </xdr:nvSpPr>
      <xdr:spPr>
        <a:xfrm>
          <a:off x="7791450" y="1465406"/>
          <a:ext cx="723900" cy="164813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5" tint="-0.249977111117893"/>
  </sheetPr>
  <dimension ref="B1:AC140"/>
  <sheetViews>
    <sheetView zoomScale="120" zoomScaleNormal="120" zoomScalePageLayoutView="120" workbookViewId="0">
      <selection activeCell="O12" sqref="O12"/>
    </sheetView>
  </sheetViews>
  <sheetFormatPr baseColWidth="10" defaultColWidth="9.1640625" defaultRowHeight="12" x14ac:dyDescent="0.15"/>
  <cols>
    <col min="1" max="1" width="2.1640625" style="2" customWidth="1"/>
    <col min="2" max="2" width="21.6640625" style="2" bestFit="1" customWidth="1"/>
    <col min="3" max="3" width="41.6640625" style="2" bestFit="1" customWidth="1"/>
    <col min="4" max="4" width="23.33203125" style="2" customWidth="1"/>
    <col min="5" max="12" width="2.1640625" style="2" customWidth="1"/>
    <col min="13" max="13" width="3.1640625" style="2" customWidth="1"/>
    <col min="14" max="14" width="17" style="2" bestFit="1" customWidth="1"/>
    <col min="15" max="15" width="24.6640625" style="2" bestFit="1" customWidth="1"/>
    <col min="16" max="16" width="6.1640625" style="2" bestFit="1" customWidth="1"/>
    <col min="17" max="17" width="24.5" style="2" bestFit="1" customWidth="1"/>
    <col min="18" max="18" width="21.83203125" style="2" bestFit="1" customWidth="1"/>
    <col min="19" max="16384" width="9.1640625" style="2"/>
  </cols>
  <sheetData>
    <row r="1" spans="2:29" ht="3.75" customHeight="1" thickBot="1" x14ac:dyDescent="0.2"/>
    <row r="2" spans="2:29" ht="7.5" customHeight="1" x14ac:dyDescent="0.15">
      <c r="N2" s="84" t="s">
        <v>90</v>
      </c>
      <c r="O2" s="85"/>
      <c r="P2" s="15"/>
      <c r="Q2" s="15"/>
    </row>
    <row r="3" spans="2:29" ht="11.25" customHeight="1" thickBot="1" x14ac:dyDescent="0.2">
      <c r="B3" s="3" t="s">
        <v>4</v>
      </c>
      <c r="C3" s="64" t="s">
        <v>131</v>
      </c>
      <c r="D3" s="65"/>
      <c r="E3" s="9"/>
      <c r="F3" s="9"/>
      <c r="G3" s="9"/>
      <c r="H3" s="9"/>
      <c r="I3" s="9"/>
      <c r="J3" s="9"/>
      <c r="K3" s="9"/>
      <c r="L3" s="9"/>
      <c r="N3" s="86"/>
      <c r="O3" s="87"/>
      <c r="P3" s="15"/>
      <c r="Q3" s="3" t="s">
        <v>91</v>
      </c>
      <c r="R3" s="18" t="str">
        <f ca="1">TEXT(TODAY(),"dd-mmm-yyyy")</f>
        <v>30-Jun-2020</v>
      </c>
    </row>
    <row r="4" spans="2:29" ht="11.25" customHeight="1" x14ac:dyDescent="0.15">
      <c r="B4" s="3" t="s">
        <v>3</v>
      </c>
      <c r="C4" s="66" t="s">
        <v>132</v>
      </c>
      <c r="D4" s="67"/>
      <c r="E4" s="9"/>
      <c r="F4" s="9"/>
      <c r="G4" s="9"/>
      <c r="H4" s="9"/>
      <c r="I4" s="9"/>
      <c r="J4" s="9"/>
      <c r="K4" s="9"/>
      <c r="L4" s="9"/>
      <c r="N4" s="15"/>
      <c r="O4" s="15"/>
      <c r="P4" s="15"/>
      <c r="Q4" s="3" t="s">
        <v>92</v>
      </c>
      <c r="R4" s="19">
        <v>43892</v>
      </c>
    </row>
    <row r="5" spans="2:29" ht="11.25" customHeight="1" x14ac:dyDescent="0.15">
      <c r="B5" s="11" t="s">
        <v>14</v>
      </c>
      <c r="C5" s="6" t="s">
        <v>16</v>
      </c>
      <c r="D5" s="12"/>
      <c r="E5" s="61"/>
      <c r="F5" s="61"/>
      <c r="G5" s="61"/>
      <c r="H5" s="61"/>
      <c r="I5" s="61"/>
      <c r="J5" s="61"/>
      <c r="K5" s="61"/>
      <c r="L5" s="61"/>
      <c r="N5" s="15"/>
      <c r="O5" s="15"/>
      <c r="P5" s="15"/>
      <c r="Q5" s="15"/>
    </row>
    <row r="6" spans="2:29" ht="11.25" customHeight="1" x14ac:dyDescent="0.15">
      <c r="B6" s="11" t="s">
        <v>15</v>
      </c>
      <c r="C6" s="6" t="s">
        <v>16</v>
      </c>
      <c r="D6" s="61"/>
      <c r="E6" s="12"/>
      <c r="F6" s="5"/>
      <c r="G6" s="5"/>
      <c r="H6" s="5"/>
      <c r="I6" s="5"/>
      <c r="J6" s="5"/>
      <c r="K6" s="5"/>
      <c r="L6" s="5"/>
      <c r="N6" s="4"/>
      <c r="O6" s="4"/>
      <c r="P6" s="4"/>
      <c r="Q6" s="4"/>
    </row>
    <row r="7" spans="2:29" ht="11.25" customHeight="1" x14ac:dyDescent="0.15">
      <c r="B7" s="11" t="s">
        <v>86</v>
      </c>
      <c r="C7" s="10" t="s">
        <v>123</v>
      </c>
      <c r="D7" s="68" t="s">
        <v>118</v>
      </c>
      <c r="E7" s="10"/>
      <c r="F7" s="9"/>
      <c r="G7" s="9"/>
      <c r="H7" s="9"/>
      <c r="I7" s="9"/>
      <c r="J7" s="9"/>
      <c r="K7" s="9"/>
      <c r="L7" s="9"/>
      <c r="N7" s="4"/>
      <c r="O7" s="4"/>
      <c r="P7" s="4"/>
      <c r="Q7" s="4"/>
    </row>
    <row r="8" spans="2:29" ht="11.25" customHeight="1" x14ac:dyDescent="0.15">
      <c r="B8" s="11" t="s">
        <v>87</v>
      </c>
      <c r="C8" s="6" t="s">
        <v>16</v>
      </c>
      <c r="D8" s="12"/>
      <c r="E8" s="12"/>
      <c r="F8" s="5"/>
      <c r="G8" s="5"/>
      <c r="H8" s="5"/>
      <c r="I8" s="5"/>
      <c r="J8" s="5"/>
      <c r="K8" s="5"/>
      <c r="L8" s="5"/>
      <c r="N8" s="4"/>
      <c r="O8" s="4"/>
      <c r="P8" s="4"/>
      <c r="Q8" s="4"/>
    </row>
    <row r="9" spans="2:29" ht="12" customHeight="1" x14ac:dyDescent="0.15">
      <c r="B9" s="11" t="s">
        <v>119</v>
      </c>
      <c r="C9" s="6" t="s">
        <v>120</v>
      </c>
      <c r="D9" s="5"/>
      <c r="E9" s="5"/>
      <c r="F9" s="5"/>
      <c r="G9" s="5"/>
      <c r="H9" s="5"/>
      <c r="I9" s="5"/>
      <c r="J9" s="5"/>
      <c r="K9" s="5"/>
      <c r="L9" s="5"/>
      <c r="N9" s="4"/>
      <c r="O9" s="4"/>
      <c r="P9" s="4"/>
      <c r="Q9" s="4"/>
    </row>
    <row r="10" spans="2:29" ht="12" customHeight="1" x14ac:dyDescent="0.15">
      <c r="B10" s="11" t="s">
        <v>128</v>
      </c>
      <c r="C10" s="6" t="s">
        <v>129</v>
      </c>
      <c r="D10" s="5"/>
      <c r="E10" s="5"/>
      <c r="F10" s="5"/>
      <c r="G10" s="5"/>
      <c r="H10" s="5"/>
      <c r="I10" s="5"/>
      <c r="J10" s="5"/>
      <c r="K10" s="5"/>
      <c r="L10" s="5"/>
      <c r="N10" s="4"/>
      <c r="O10" s="4"/>
      <c r="P10" s="4"/>
      <c r="Q10" s="4"/>
    </row>
    <row r="11" spans="2:29" ht="12" customHeight="1" thickBot="1" x14ac:dyDescent="0.2">
      <c r="N11" s="4"/>
      <c r="O11" s="4"/>
      <c r="P11" s="4"/>
      <c r="Q11" s="4"/>
    </row>
    <row r="12" spans="2:29" ht="11.25" customHeight="1" x14ac:dyDescent="0.15">
      <c r="B12" s="62" t="s">
        <v>9</v>
      </c>
      <c r="C12" s="62" t="s">
        <v>10</v>
      </c>
      <c r="D12" s="62" t="s">
        <v>126</v>
      </c>
      <c r="E12" s="59"/>
      <c r="F12" s="59"/>
      <c r="G12" s="59"/>
      <c r="H12" s="59"/>
      <c r="I12" s="59"/>
      <c r="J12" s="59"/>
      <c r="K12" s="59"/>
      <c r="L12" s="59"/>
      <c r="N12" s="7"/>
      <c r="O12" s="7"/>
      <c r="P12" s="7"/>
      <c r="Q12" s="7"/>
      <c r="R12" s="7"/>
      <c r="AA12" s="31" t="s">
        <v>98</v>
      </c>
      <c r="AB12" s="31" t="s">
        <v>99</v>
      </c>
      <c r="AC12" s="31" t="s">
        <v>100</v>
      </c>
    </row>
    <row r="13" spans="2:29" ht="15" x14ac:dyDescent="0.2">
      <c r="B13" s="1" t="s">
        <v>141</v>
      </c>
      <c r="C13" s="78" t="s">
        <v>5</v>
      </c>
      <c r="D13" s="78" t="s">
        <v>142</v>
      </c>
      <c r="E13" s="60"/>
      <c r="F13" s="60"/>
      <c r="G13" s="60"/>
      <c r="H13" s="60"/>
      <c r="I13" s="60"/>
      <c r="J13" s="60"/>
      <c r="K13" s="60"/>
      <c r="L13" s="60"/>
      <c r="N13" s="54"/>
      <c r="O13" s="79"/>
      <c r="P13" s="52"/>
      <c r="Q13" s="80"/>
      <c r="R13" s="56"/>
      <c r="AA13" s="1">
        <v>1</v>
      </c>
      <c r="AB13" s="1">
        <v>1</v>
      </c>
      <c r="AC13" s="1">
        <v>1</v>
      </c>
    </row>
    <row r="14" spans="2:29" ht="15" x14ac:dyDescent="0.2">
      <c r="B14" s="1" t="s">
        <v>143</v>
      </c>
      <c r="C14" s="78" t="s">
        <v>7</v>
      </c>
      <c r="D14" s="78" t="s">
        <v>144</v>
      </c>
      <c r="E14" s="60"/>
      <c r="F14" s="60"/>
      <c r="G14" s="60"/>
      <c r="H14" s="60"/>
      <c r="I14" s="60"/>
      <c r="J14" s="60"/>
      <c r="K14" s="60"/>
      <c r="L14" s="60"/>
      <c r="N14" s="5"/>
      <c r="O14" s="79"/>
      <c r="P14" s="70"/>
      <c r="Q14" s="57"/>
      <c r="R14" s="55"/>
      <c r="AA14" s="1">
        <v>1</v>
      </c>
      <c r="AB14" s="1">
        <v>1</v>
      </c>
      <c r="AC14" s="1">
        <v>1</v>
      </c>
    </row>
    <row r="15" spans="2:29" ht="15" x14ac:dyDescent="0.2">
      <c r="B15" s="1" t="s">
        <v>145</v>
      </c>
      <c r="C15" s="78" t="s">
        <v>8</v>
      </c>
      <c r="D15" s="78" t="s">
        <v>146</v>
      </c>
      <c r="E15" s="60"/>
      <c r="F15" s="60"/>
      <c r="G15" s="60"/>
      <c r="H15" s="60"/>
      <c r="I15" s="60"/>
      <c r="J15" s="60"/>
      <c r="K15" s="60"/>
      <c r="L15" s="60"/>
      <c r="N15" s="5"/>
      <c r="O15" s="81"/>
      <c r="P15" s="70"/>
      <c r="Q15" s="58"/>
      <c r="R15" s="5"/>
      <c r="AA15" s="1">
        <v>1</v>
      </c>
      <c r="AB15" s="1">
        <v>1</v>
      </c>
      <c r="AC15" s="1">
        <v>1</v>
      </c>
    </row>
    <row r="16" spans="2:29" x14ac:dyDescent="0.15">
      <c r="B16" s="1" t="s">
        <v>148</v>
      </c>
      <c r="C16" s="78" t="s">
        <v>6</v>
      </c>
      <c r="D16" s="78" t="s">
        <v>149</v>
      </c>
      <c r="E16" s="60"/>
      <c r="F16" s="60"/>
      <c r="G16" s="60"/>
      <c r="H16" s="60"/>
      <c r="I16" s="60"/>
      <c r="J16" s="60"/>
      <c r="K16" s="60"/>
      <c r="L16" s="60"/>
      <c r="N16" s="5"/>
      <c r="O16" s="8"/>
      <c r="P16" s="8"/>
      <c r="Q16" s="51"/>
      <c r="R16" s="5"/>
      <c r="AA16" s="1">
        <v>12</v>
      </c>
      <c r="AB16" s="1">
        <v>12</v>
      </c>
      <c r="AC16" s="1">
        <v>12</v>
      </c>
    </row>
    <row r="17" spans="2:29" x14ac:dyDescent="0.15">
      <c r="B17" s="1" t="s">
        <v>161</v>
      </c>
      <c r="C17" s="78" t="s">
        <v>150</v>
      </c>
      <c r="D17" s="78"/>
      <c r="E17" s="60"/>
      <c r="F17" s="60"/>
      <c r="G17" s="60"/>
      <c r="H17" s="60"/>
      <c r="I17" s="60"/>
      <c r="J17" s="60"/>
      <c r="K17" s="60"/>
      <c r="L17" s="60"/>
      <c r="N17" s="5"/>
      <c r="O17" s="8"/>
      <c r="P17" s="8"/>
      <c r="Q17" s="5"/>
      <c r="R17" s="5"/>
      <c r="AA17" s="1">
        <v>1</v>
      </c>
      <c r="AB17" s="1">
        <v>1</v>
      </c>
      <c r="AC17" s="1">
        <v>1</v>
      </c>
    </row>
    <row r="18" spans="2:29" x14ac:dyDescent="0.15">
      <c r="B18" s="1" t="s">
        <v>162</v>
      </c>
      <c r="C18" s="78" t="s">
        <v>163</v>
      </c>
      <c r="D18" s="78"/>
      <c r="E18" s="60"/>
      <c r="F18" s="60"/>
      <c r="G18" s="60"/>
      <c r="H18" s="60"/>
      <c r="I18" s="60"/>
      <c r="J18" s="60"/>
      <c r="K18" s="60"/>
      <c r="L18" s="60"/>
      <c r="N18" s="5"/>
      <c r="O18" s="8"/>
      <c r="P18" s="8"/>
      <c r="Q18" s="5"/>
      <c r="R18" s="5"/>
      <c r="AA18" s="1">
        <v>12</v>
      </c>
      <c r="AB18" s="1">
        <v>12</v>
      </c>
      <c r="AC18" s="1">
        <v>12</v>
      </c>
    </row>
    <row r="19" spans="2:29" x14ac:dyDescent="0.15">
      <c r="B19" s="1" t="s">
        <v>166</v>
      </c>
      <c r="C19" s="78" t="s">
        <v>167</v>
      </c>
      <c r="D19" s="78"/>
      <c r="E19" s="60"/>
      <c r="F19" s="60"/>
      <c r="G19" s="60"/>
      <c r="H19" s="60"/>
      <c r="I19" s="60"/>
      <c r="J19" s="60"/>
      <c r="K19" s="60"/>
      <c r="L19" s="60"/>
      <c r="N19" s="12"/>
      <c r="O19" s="12"/>
      <c r="P19" s="12"/>
      <c r="Q19" s="12"/>
      <c r="R19" s="5"/>
      <c r="AA19" s="1">
        <v>12</v>
      </c>
      <c r="AB19" s="1">
        <v>12</v>
      </c>
      <c r="AC19" s="1">
        <v>12</v>
      </c>
    </row>
    <row r="20" spans="2:29" x14ac:dyDescent="0.15">
      <c r="B20" s="1" t="s">
        <v>173</v>
      </c>
      <c r="C20" s="78" t="s">
        <v>174</v>
      </c>
      <c r="D20" s="78"/>
      <c r="E20" s="60"/>
      <c r="F20" s="60"/>
      <c r="G20" s="60"/>
      <c r="H20" s="60"/>
      <c r="I20" s="60"/>
      <c r="J20" s="60"/>
      <c r="K20" s="60"/>
      <c r="L20" s="60"/>
      <c r="N20" s="75" t="s">
        <v>134</v>
      </c>
      <c r="O20" s="75" t="s">
        <v>135</v>
      </c>
      <c r="P20" s="75" t="s">
        <v>136</v>
      </c>
      <c r="Q20" s="75" t="s">
        <v>137</v>
      </c>
      <c r="R20" s="75" t="s">
        <v>158</v>
      </c>
      <c r="AA20" s="1">
        <v>12</v>
      </c>
      <c r="AB20" s="1">
        <v>12</v>
      </c>
      <c r="AC20" s="1">
        <v>12</v>
      </c>
    </row>
    <row r="21" spans="2:29" x14ac:dyDescent="0.15">
      <c r="B21" s="1" t="s">
        <v>147</v>
      </c>
      <c r="C21" s="78" t="s">
        <v>178</v>
      </c>
      <c r="D21" s="78"/>
      <c r="E21" s="60"/>
      <c r="F21" s="60"/>
      <c r="G21" s="60"/>
      <c r="H21" s="60"/>
      <c r="I21" s="60"/>
      <c r="J21" s="60"/>
      <c r="K21" s="60"/>
      <c r="L21" s="60"/>
      <c r="N21" s="76" t="s">
        <v>154</v>
      </c>
      <c r="O21" s="77" t="s">
        <v>155</v>
      </c>
      <c r="P21" s="77" t="s">
        <v>156</v>
      </c>
      <c r="Q21" s="77">
        <v>9</v>
      </c>
      <c r="R21" s="77" t="s">
        <v>157</v>
      </c>
      <c r="AA21" s="1">
        <v>12</v>
      </c>
      <c r="AB21" s="1">
        <v>12</v>
      </c>
      <c r="AC21" s="1">
        <v>12</v>
      </c>
    </row>
    <row r="22" spans="2:29" x14ac:dyDescent="0.15">
      <c r="B22" s="1" t="s">
        <v>180</v>
      </c>
      <c r="C22" s="78" t="s">
        <v>181</v>
      </c>
      <c r="D22" s="78"/>
      <c r="E22" s="60"/>
      <c r="F22" s="60"/>
      <c r="G22" s="60"/>
      <c r="H22" s="60"/>
      <c r="I22" s="60"/>
      <c r="J22" s="60"/>
      <c r="K22" s="60"/>
      <c r="L22" s="60"/>
      <c r="N22" s="5"/>
      <c r="O22" s="5"/>
      <c r="P22" s="5"/>
      <c r="Q22" s="5"/>
      <c r="R22" s="5"/>
      <c r="AA22" s="1">
        <v>12</v>
      </c>
      <c r="AB22" s="1">
        <v>12</v>
      </c>
      <c r="AC22" s="1">
        <v>12</v>
      </c>
    </row>
    <row r="23" spans="2:29" x14ac:dyDescent="0.15">
      <c r="B23" s="1" t="s">
        <v>140</v>
      </c>
      <c r="C23" s="78" t="s">
        <v>187</v>
      </c>
      <c r="D23" s="78"/>
      <c r="E23" s="60"/>
      <c r="F23" s="60"/>
      <c r="G23" s="60"/>
      <c r="H23" s="60"/>
      <c r="I23" s="60"/>
      <c r="J23" s="60"/>
      <c r="K23" s="60"/>
      <c r="L23" s="60"/>
      <c r="N23" s="75"/>
      <c r="O23" s="75"/>
      <c r="P23" s="75"/>
      <c r="Q23" s="75" t="s">
        <v>138</v>
      </c>
      <c r="R23" s="75" t="s">
        <v>139</v>
      </c>
      <c r="AA23" s="1">
        <v>1</v>
      </c>
      <c r="AB23" s="1">
        <v>1</v>
      </c>
      <c r="AC23" s="1">
        <v>1</v>
      </c>
    </row>
    <row r="24" spans="2:29" x14ac:dyDescent="0.15">
      <c r="B24" s="1"/>
      <c r="C24" s="78"/>
      <c r="D24" s="78"/>
      <c r="E24" s="60"/>
      <c r="F24" s="60"/>
      <c r="G24" s="60"/>
      <c r="H24" s="60"/>
      <c r="I24" s="60"/>
      <c r="J24" s="60"/>
      <c r="K24" s="60"/>
      <c r="L24" s="60"/>
      <c r="N24" s="77"/>
      <c r="O24" s="77"/>
      <c r="P24" s="76"/>
      <c r="Q24" s="77" t="s">
        <v>153</v>
      </c>
      <c r="R24" s="77"/>
      <c r="AA24" s="1"/>
      <c r="AB24" s="1"/>
      <c r="AC24" s="1"/>
    </row>
    <row r="25" spans="2:29" x14ac:dyDescent="0.15">
      <c r="B25" s="1"/>
      <c r="C25" s="78"/>
      <c r="D25" s="78"/>
      <c r="E25" s="60"/>
      <c r="F25" s="60"/>
      <c r="G25" s="60"/>
      <c r="H25" s="60"/>
      <c r="I25" s="60"/>
      <c r="J25" s="60"/>
      <c r="K25" s="60"/>
      <c r="L25" s="60"/>
      <c r="N25" s="61"/>
      <c r="O25" s="61"/>
      <c r="P25" s="61"/>
      <c r="Q25" s="61"/>
      <c r="R25" s="61"/>
      <c r="AA25" s="1"/>
      <c r="AB25" s="1"/>
      <c r="AC25" s="1"/>
    </row>
    <row r="26" spans="2:29" x14ac:dyDescent="0.15">
      <c r="B26" s="1"/>
      <c r="C26" s="78"/>
      <c r="D26" s="78"/>
      <c r="E26" s="60"/>
      <c r="F26" s="60"/>
      <c r="G26" s="60"/>
      <c r="H26" s="60"/>
      <c r="I26" s="60"/>
      <c r="J26" s="60"/>
      <c r="K26" s="60"/>
      <c r="L26" s="60"/>
      <c r="N26" s="61"/>
      <c r="O26" s="61"/>
      <c r="P26" s="61"/>
      <c r="Q26" s="61"/>
      <c r="R26" s="61"/>
      <c r="AA26" s="1"/>
      <c r="AB26" s="1"/>
      <c r="AC26" s="1"/>
    </row>
    <row r="27" spans="2:29" x14ac:dyDescent="0.15">
      <c r="B27" s="1"/>
      <c r="C27" s="78"/>
      <c r="D27" s="78"/>
      <c r="E27" s="60"/>
      <c r="F27" s="60"/>
      <c r="G27" s="60"/>
      <c r="H27" s="60"/>
      <c r="I27" s="60"/>
      <c r="J27" s="60"/>
      <c r="K27" s="60"/>
      <c r="L27" s="60"/>
      <c r="N27" s="61"/>
      <c r="O27" s="61"/>
      <c r="P27" s="61"/>
      <c r="Q27" s="61"/>
      <c r="R27" s="61"/>
      <c r="AA27" s="1"/>
      <c r="AB27" s="1"/>
      <c r="AC27" s="1"/>
    </row>
    <row r="28" spans="2:29" x14ac:dyDescent="0.15">
      <c r="B28" s="1"/>
      <c r="C28" s="78"/>
      <c r="D28" s="78"/>
      <c r="E28" s="60"/>
      <c r="F28" s="60"/>
      <c r="G28" s="60"/>
      <c r="H28" s="60"/>
      <c r="I28" s="60"/>
      <c r="J28" s="60"/>
      <c r="K28" s="60"/>
      <c r="L28" s="60"/>
      <c r="N28" s="61"/>
      <c r="O28" s="61"/>
      <c r="P28" s="61"/>
      <c r="Q28" s="61"/>
      <c r="R28" s="61"/>
      <c r="AA28" s="1"/>
      <c r="AB28" s="1"/>
      <c r="AC28" s="1"/>
    </row>
    <row r="29" spans="2:29" x14ac:dyDescent="0.15">
      <c r="B29" s="1"/>
      <c r="C29" s="78"/>
      <c r="D29" s="78"/>
      <c r="E29" s="60"/>
      <c r="F29" s="60"/>
      <c r="G29" s="60"/>
      <c r="H29" s="60"/>
      <c r="I29" s="60"/>
      <c r="J29" s="60"/>
      <c r="K29" s="60"/>
      <c r="L29" s="60"/>
      <c r="N29" s="61"/>
      <c r="O29" s="61"/>
      <c r="P29" s="61"/>
      <c r="Q29" s="61"/>
      <c r="R29" s="61"/>
      <c r="AA29" s="1"/>
      <c r="AB29" s="1"/>
      <c r="AC29" s="1"/>
    </row>
    <row r="30" spans="2:29" x14ac:dyDescent="0.15">
      <c r="B30" s="1"/>
      <c r="C30" s="78"/>
      <c r="D30" s="78"/>
      <c r="E30" s="60"/>
      <c r="F30" s="60"/>
      <c r="G30" s="60"/>
      <c r="H30" s="60"/>
      <c r="I30" s="60"/>
      <c r="J30" s="60"/>
      <c r="K30" s="60"/>
      <c r="L30" s="60"/>
      <c r="N30" s="5"/>
      <c r="O30" s="5"/>
      <c r="P30" s="5"/>
      <c r="Q30" s="5"/>
      <c r="R30" s="5"/>
      <c r="AA30" s="1"/>
      <c r="AB30" s="1"/>
      <c r="AC30" s="1"/>
    </row>
    <row r="31" spans="2:29" x14ac:dyDescent="0.15">
      <c r="B31" s="1"/>
      <c r="C31" s="78"/>
      <c r="D31" s="78"/>
      <c r="E31" s="60"/>
      <c r="F31" s="60"/>
      <c r="G31" s="60"/>
      <c r="H31" s="60"/>
      <c r="I31" s="60"/>
      <c r="J31" s="60"/>
      <c r="K31" s="60"/>
      <c r="L31" s="60"/>
      <c r="AA31" s="1"/>
      <c r="AB31" s="1"/>
      <c r="AC31" s="1"/>
    </row>
    <row r="32" spans="2:29" x14ac:dyDescent="0.15">
      <c r="B32" s="1"/>
      <c r="C32" s="78"/>
      <c r="D32" s="78"/>
      <c r="E32" s="60"/>
      <c r="F32" s="60"/>
      <c r="G32" s="60"/>
      <c r="H32" s="60"/>
      <c r="I32" s="60"/>
      <c r="J32" s="60"/>
      <c r="K32" s="60"/>
      <c r="L32" s="60"/>
      <c r="AA32" s="1"/>
      <c r="AB32" s="1"/>
      <c r="AC32" s="1"/>
    </row>
    <row r="33" spans="2:29" x14ac:dyDescent="0.15">
      <c r="B33" s="1"/>
      <c r="C33" s="78"/>
      <c r="D33" s="78"/>
      <c r="E33" s="60"/>
      <c r="F33" s="60"/>
      <c r="G33" s="60"/>
      <c r="H33" s="60"/>
      <c r="I33" s="60"/>
      <c r="J33" s="60"/>
      <c r="K33" s="60"/>
      <c r="L33" s="60"/>
      <c r="AA33" s="1"/>
      <c r="AB33" s="1"/>
      <c r="AC33" s="1"/>
    </row>
    <row r="34" spans="2:29" x14ac:dyDescent="0.15">
      <c r="B34" s="1"/>
      <c r="C34" s="78"/>
      <c r="D34" s="78"/>
      <c r="E34" s="60"/>
      <c r="F34" s="60"/>
      <c r="G34" s="60"/>
      <c r="H34" s="60"/>
      <c r="I34" s="60"/>
      <c r="J34" s="60"/>
      <c r="K34" s="60"/>
      <c r="L34" s="60"/>
      <c r="AA34" s="1"/>
      <c r="AB34" s="1"/>
      <c r="AC34" s="1"/>
    </row>
    <row r="35" spans="2:29" x14ac:dyDescent="0.15">
      <c r="B35" s="1"/>
      <c r="C35" s="78"/>
      <c r="D35" s="78"/>
      <c r="E35" s="60"/>
      <c r="F35" s="60"/>
      <c r="G35" s="60"/>
      <c r="H35" s="60"/>
      <c r="I35" s="60"/>
      <c r="J35" s="60"/>
      <c r="K35" s="60"/>
      <c r="L35" s="60"/>
      <c r="AA35" s="1"/>
      <c r="AB35" s="1"/>
      <c r="AC35" s="1"/>
    </row>
    <row r="36" spans="2:29" x14ac:dyDescent="0.15">
      <c r="B36" s="1"/>
      <c r="C36" s="78"/>
      <c r="D36" s="78"/>
      <c r="E36" s="60"/>
      <c r="F36" s="60"/>
      <c r="G36" s="60"/>
      <c r="H36" s="60"/>
      <c r="I36" s="60"/>
      <c r="J36" s="60"/>
      <c r="K36" s="60"/>
      <c r="L36" s="60"/>
      <c r="AA36" s="1"/>
      <c r="AB36" s="1"/>
      <c r="AC36" s="1"/>
    </row>
    <row r="37" spans="2:29" x14ac:dyDescent="0.15">
      <c r="B37" s="1"/>
      <c r="C37" s="78"/>
      <c r="D37" s="78"/>
      <c r="E37" s="60"/>
      <c r="F37" s="60"/>
      <c r="G37" s="60"/>
      <c r="H37" s="60"/>
      <c r="I37" s="60"/>
      <c r="J37" s="60"/>
      <c r="K37" s="60"/>
      <c r="L37" s="60"/>
      <c r="AA37" s="1"/>
      <c r="AB37" s="1"/>
      <c r="AC37" s="1"/>
    </row>
    <row r="38" spans="2:29" x14ac:dyDescent="0.15">
      <c r="B38" s="1"/>
      <c r="C38" s="78"/>
      <c r="D38" s="78"/>
      <c r="E38" s="60"/>
      <c r="F38" s="60"/>
      <c r="G38" s="60"/>
      <c r="H38" s="60"/>
      <c r="I38" s="60"/>
      <c r="J38" s="60"/>
      <c r="K38" s="60"/>
      <c r="L38" s="60"/>
      <c r="AA38" s="1"/>
      <c r="AB38" s="1"/>
      <c r="AC38" s="1"/>
    </row>
    <row r="39" spans="2:29" x14ac:dyDescent="0.15">
      <c r="B39" s="1"/>
      <c r="C39" s="78"/>
      <c r="D39" s="78"/>
      <c r="E39" s="60"/>
      <c r="F39" s="60"/>
      <c r="G39" s="60"/>
      <c r="H39" s="60"/>
      <c r="I39" s="60"/>
      <c r="J39" s="60"/>
      <c r="K39" s="60"/>
      <c r="L39" s="60"/>
      <c r="AA39" s="1"/>
      <c r="AB39" s="1"/>
      <c r="AC39" s="1"/>
    </row>
    <row r="40" spans="2:29" x14ac:dyDescent="0.15">
      <c r="B40" s="1"/>
      <c r="C40" s="78"/>
      <c r="D40" s="78"/>
      <c r="E40" s="60"/>
      <c r="F40" s="60"/>
      <c r="G40" s="60"/>
      <c r="H40" s="60"/>
      <c r="I40" s="60"/>
      <c r="J40" s="60"/>
      <c r="K40" s="60"/>
      <c r="L40" s="60"/>
      <c r="AA40" s="1"/>
      <c r="AB40" s="1"/>
      <c r="AC40" s="1"/>
    </row>
    <row r="41" spans="2:29" x14ac:dyDescent="0.15">
      <c r="B41" s="1"/>
      <c r="C41" s="78"/>
      <c r="D41" s="78"/>
      <c r="E41" s="60"/>
      <c r="F41" s="60"/>
      <c r="G41" s="60"/>
      <c r="H41" s="60"/>
      <c r="I41" s="60"/>
      <c r="J41" s="60"/>
      <c r="K41" s="60"/>
      <c r="L41" s="60"/>
      <c r="AA41" s="1"/>
      <c r="AB41" s="1"/>
      <c r="AC41" s="1"/>
    </row>
    <row r="42" spans="2:29" x14ac:dyDescent="0.15">
      <c r="B42" s="1"/>
      <c r="C42" s="78"/>
      <c r="D42" s="78"/>
      <c r="E42" s="60"/>
      <c r="F42" s="60"/>
      <c r="G42" s="60"/>
      <c r="H42" s="60"/>
      <c r="I42" s="60"/>
      <c r="J42" s="60"/>
      <c r="K42" s="60"/>
      <c r="L42" s="60"/>
      <c r="AA42" s="1"/>
      <c r="AB42" s="1"/>
      <c r="AC42" s="1"/>
    </row>
    <row r="43" spans="2:29" x14ac:dyDescent="0.15">
      <c r="B43" s="1"/>
      <c r="C43" s="78"/>
      <c r="D43" s="78"/>
      <c r="E43" s="60"/>
      <c r="F43" s="60"/>
      <c r="G43" s="60"/>
      <c r="H43" s="60"/>
      <c r="I43" s="60"/>
      <c r="J43" s="60"/>
      <c r="K43" s="60"/>
      <c r="L43" s="60"/>
      <c r="AA43" s="1"/>
      <c r="AB43" s="1"/>
      <c r="AC43" s="1"/>
    </row>
    <row r="44" spans="2:29" x14ac:dyDescent="0.15">
      <c r="B44" s="1"/>
      <c r="C44" s="78"/>
      <c r="D44" s="78"/>
      <c r="E44" s="60"/>
      <c r="F44" s="60"/>
      <c r="G44" s="60"/>
      <c r="H44" s="60"/>
      <c r="I44" s="60"/>
      <c r="J44" s="60"/>
      <c r="K44" s="60"/>
      <c r="L44" s="60"/>
      <c r="AA44" s="1"/>
      <c r="AB44" s="1"/>
      <c r="AC44" s="1"/>
    </row>
    <row r="45" spans="2:29" x14ac:dyDescent="0.15">
      <c r="B45" s="1"/>
      <c r="C45" s="78"/>
      <c r="D45" s="78"/>
      <c r="E45" s="60"/>
      <c r="F45" s="60"/>
      <c r="G45" s="60"/>
      <c r="H45" s="60"/>
      <c r="I45" s="60"/>
      <c r="J45" s="60"/>
      <c r="K45" s="60"/>
      <c r="L45" s="60"/>
      <c r="AA45" s="1"/>
      <c r="AB45" s="1"/>
      <c r="AC45" s="1"/>
    </row>
    <row r="46" spans="2:29" x14ac:dyDescent="0.15">
      <c r="B46" s="1"/>
      <c r="C46" s="78"/>
      <c r="D46" s="78"/>
      <c r="E46" s="60"/>
      <c r="F46" s="60"/>
      <c r="G46" s="60"/>
      <c r="H46" s="60"/>
      <c r="I46" s="60"/>
      <c r="J46" s="60"/>
      <c r="K46" s="60"/>
      <c r="L46" s="60"/>
      <c r="AA46" s="1"/>
      <c r="AB46" s="1"/>
      <c r="AC46" s="1"/>
    </row>
    <row r="47" spans="2:29" x14ac:dyDescent="0.15">
      <c r="B47" s="1"/>
      <c r="C47" s="78"/>
      <c r="D47" s="78"/>
      <c r="E47" s="60"/>
      <c r="F47" s="60"/>
      <c r="G47" s="60"/>
      <c r="H47" s="60"/>
      <c r="I47" s="60"/>
      <c r="J47" s="60"/>
      <c r="K47" s="60"/>
      <c r="L47" s="60"/>
      <c r="AA47" s="1"/>
      <c r="AB47" s="1"/>
      <c r="AC47" s="1"/>
    </row>
    <row r="48" spans="2:29" x14ac:dyDescent="0.15">
      <c r="B48" s="1"/>
      <c r="C48" s="78"/>
      <c r="D48" s="78"/>
      <c r="E48" s="60"/>
      <c r="F48" s="60"/>
      <c r="G48" s="60"/>
      <c r="H48" s="60"/>
      <c r="I48" s="60"/>
      <c r="J48" s="60"/>
      <c r="K48" s="60"/>
      <c r="L48" s="60"/>
      <c r="AA48" s="1"/>
      <c r="AB48" s="1"/>
      <c r="AC48" s="1"/>
    </row>
    <row r="49" spans="2:29" x14ac:dyDescent="0.15">
      <c r="B49" s="1"/>
      <c r="C49" s="78"/>
      <c r="D49" s="78"/>
      <c r="E49" s="60"/>
      <c r="F49" s="60"/>
      <c r="G49" s="60"/>
      <c r="H49" s="60"/>
      <c r="I49" s="60"/>
      <c r="J49" s="60"/>
      <c r="K49" s="60"/>
      <c r="L49" s="60"/>
      <c r="AA49" s="1"/>
      <c r="AB49" s="1"/>
      <c r="AC49" s="1"/>
    </row>
    <row r="50" spans="2:29" x14ac:dyDescent="0.15">
      <c r="B50" s="1"/>
      <c r="C50" s="78"/>
      <c r="D50" s="78"/>
      <c r="E50" s="60"/>
      <c r="F50" s="60"/>
      <c r="G50" s="60"/>
      <c r="H50" s="60"/>
      <c r="I50" s="60"/>
      <c r="J50" s="60"/>
      <c r="K50" s="60"/>
      <c r="L50" s="60"/>
      <c r="AA50" s="1"/>
      <c r="AB50" s="1"/>
      <c r="AC50" s="1"/>
    </row>
    <row r="51" spans="2:29" x14ac:dyDescent="0.15">
      <c r="B51" s="1"/>
      <c r="C51" s="78"/>
      <c r="D51" s="78"/>
      <c r="E51" s="60"/>
      <c r="F51" s="60"/>
      <c r="G51" s="60"/>
      <c r="H51" s="60"/>
      <c r="I51" s="60"/>
      <c r="J51" s="60"/>
      <c r="K51" s="60"/>
      <c r="L51" s="60"/>
      <c r="AA51" s="1"/>
      <c r="AB51" s="1"/>
      <c r="AC51" s="1"/>
    </row>
    <row r="52" spans="2:29" x14ac:dyDescent="0.15">
      <c r="B52" s="1"/>
      <c r="C52" s="78"/>
      <c r="D52" s="78"/>
      <c r="E52" s="60"/>
      <c r="F52" s="60"/>
      <c r="G52" s="60"/>
      <c r="H52" s="60"/>
      <c r="I52" s="60"/>
      <c r="J52" s="60"/>
      <c r="K52" s="60"/>
      <c r="L52" s="60"/>
      <c r="AA52" s="1"/>
      <c r="AB52" s="1"/>
      <c r="AC52" s="1"/>
    </row>
    <row r="53" spans="2:29" x14ac:dyDescent="0.15">
      <c r="B53" s="1"/>
      <c r="C53" s="78"/>
      <c r="D53" s="78"/>
      <c r="E53" s="60"/>
      <c r="F53" s="60"/>
      <c r="G53" s="60"/>
      <c r="H53" s="60"/>
      <c r="I53" s="60"/>
      <c r="J53" s="60"/>
      <c r="K53" s="60"/>
      <c r="L53" s="60"/>
      <c r="AA53" s="1"/>
      <c r="AB53" s="1"/>
      <c r="AC53" s="1"/>
    </row>
    <row r="54" spans="2:29" x14ac:dyDescent="0.15">
      <c r="B54" s="1"/>
      <c r="C54" s="78"/>
      <c r="D54" s="78"/>
      <c r="E54" s="60"/>
      <c r="F54" s="60"/>
      <c r="G54" s="60"/>
      <c r="H54" s="60"/>
      <c r="I54" s="60"/>
      <c r="J54" s="60"/>
      <c r="K54" s="60"/>
      <c r="L54" s="60"/>
      <c r="AA54" s="1"/>
      <c r="AB54" s="1"/>
      <c r="AC54" s="1"/>
    </row>
    <row r="55" spans="2:29" x14ac:dyDescent="0.15">
      <c r="B55" s="1"/>
      <c r="C55" s="78"/>
      <c r="D55" s="78"/>
      <c r="E55" s="60"/>
      <c r="F55" s="60"/>
      <c r="G55" s="60"/>
      <c r="H55" s="60"/>
      <c r="I55" s="60"/>
      <c r="J55" s="60"/>
      <c r="K55" s="60"/>
      <c r="L55" s="60"/>
      <c r="AA55" s="1"/>
      <c r="AB55" s="1"/>
      <c r="AC55" s="1"/>
    </row>
    <row r="56" spans="2:29" x14ac:dyDescent="0.15">
      <c r="B56" s="1"/>
      <c r="C56" s="78"/>
      <c r="D56" s="78"/>
      <c r="E56" s="60"/>
      <c r="F56" s="60"/>
      <c r="G56" s="60"/>
      <c r="H56" s="60"/>
      <c r="I56" s="60"/>
      <c r="J56" s="60"/>
      <c r="K56" s="60"/>
      <c r="L56" s="60"/>
      <c r="AA56" s="1"/>
      <c r="AB56" s="1"/>
      <c r="AC56" s="1"/>
    </row>
    <row r="57" spans="2:29" x14ac:dyDescent="0.15">
      <c r="B57" s="1"/>
      <c r="C57" s="78"/>
      <c r="D57" s="78"/>
      <c r="E57" s="60"/>
      <c r="F57" s="60"/>
      <c r="G57" s="60"/>
      <c r="H57" s="60"/>
      <c r="I57" s="60"/>
      <c r="J57" s="60"/>
      <c r="K57" s="60"/>
      <c r="L57" s="60"/>
      <c r="AA57" s="1"/>
      <c r="AB57" s="1"/>
      <c r="AC57" s="1"/>
    </row>
    <row r="58" spans="2:29" x14ac:dyDescent="0.15">
      <c r="B58" s="1"/>
      <c r="C58" s="78"/>
      <c r="D58" s="78"/>
      <c r="E58" s="60"/>
      <c r="F58" s="60"/>
      <c r="G58" s="60"/>
      <c r="H58" s="60"/>
      <c r="I58" s="60"/>
      <c r="J58" s="60"/>
      <c r="K58" s="60"/>
      <c r="L58" s="60"/>
      <c r="AA58" s="1"/>
      <c r="AB58" s="1"/>
      <c r="AC58" s="1"/>
    </row>
    <row r="59" spans="2:29" x14ac:dyDescent="0.15">
      <c r="B59" s="1"/>
      <c r="C59" s="78"/>
      <c r="D59" s="78"/>
      <c r="E59" s="60"/>
      <c r="F59" s="60"/>
      <c r="G59" s="60"/>
      <c r="H59" s="60"/>
      <c r="I59" s="60"/>
      <c r="J59" s="60"/>
      <c r="K59" s="60"/>
      <c r="L59" s="60"/>
      <c r="AA59" s="1"/>
      <c r="AB59" s="1"/>
      <c r="AC59" s="1"/>
    </row>
    <row r="60" spans="2:29" x14ac:dyDescent="0.15">
      <c r="B60" s="1"/>
      <c r="C60" s="78"/>
      <c r="D60" s="78"/>
      <c r="E60" s="60"/>
      <c r="F60" s="60"/>
      <c r="G60" s="60"/>
      <c r="H60" s="60"/>
      <c r="I60" s="60"/>
      <c r="J60" s="60"/>
      <c r="K60" s="60"/>
      <c r="L60" s="60"/>
      <c r="AA60" s="1"/>
      <c r="AB60" s="1"/>
      <c r="AC60" s="1"/>
    </row>
    <row r="61" spans="2:29" x14ac:dyDescent="0.15">
      <c r="B61" s="1"/>
      <c r="C61" s="78"/>
      <c r="D61" s="78"/>
      <c r="E61" s="60"/>
      <c r="F61" s="60"/>
      <c r="G61" s="60"/>
      <c r="H61" s="60"/>
      <c r="I61" s="60"/>
      <c r="J61" s="60"/>
      <c r="K61" s="60"/>
      <c r="L61" s="60"/>
      <c r="AA61" s="1"/>
      <c r="AB61" s="1"/>
      <c r="AC61" s="1"/>
    </row>
    <row r="62" spans="2:29" x14ac:dyDescent="0.15">
      <c r="B62" s="1"/>
      <c r="C62" s="78"/>
      <c r="D62" s="78"/>
      <c r="E62" s="60"/>
      <c r="F62" s="60"/>
      <c r="G62" s="60"/>
      <c r="H62" s="60"/>
      <c r="I62" s="60"/>
      <c r="J62" s="60"/>
      <c r="K62" s="60"/>
      <c r="L62" s="60"/>
      <c r="AA62" s="1"/>
      <c r="AB62" s="1"/>
      <c r="AC62" s="1"/>
    </row>
    <row r="63" spans="2:29" x14ac:dyDescent="0.15">
      <c r="B63" s="1"/>
      <c r="C63" s="78"/>
      <c r="D63" s="78"/>
      <c r="E63" s="60"/>
      <c r="F63" s="60"/>
      <c r="G63" s="60"/>
      <c r="H63" s="60"/>
      <c r="I63" s="60"/>
      <c r="J63" s="60"/>
      <c r="K63" s="60"/>
      <c r="L63" s="60"/>
      <c r="AA63" s="1"/>
      <c r="AB63" s="1"/>
      <c r="AC63" s="1"/>
    </row>
    <row r="64" spans="2:29" x14ac:dyDescent="0.15">
      <c r="B64" s="1"/>
      <c r="C64" s="78"/>
      <c r="D64" s="78"/>
      <c r="E64" s="60"/>
      <c r="F64" s="60"/>
      <c r="G64" s="60"/>
      <c r="H64" s="60"/>
      <c r="I64" s="60"/>
      <c r="J64" s="60"/>
      <c r="K64" s="60"/>
      <c r="L64" s="60"/>
      <c r="AA64" s="1"/>
      <c r="AB64" s="1"/>
      <c r="AC64" s="1"/>
    </row>
    <row r="65" spans="2:29" x14ac:dyDescent="0.15">
      <c r="B65" s="1"/>
      <c r="C65" s="63"/>
      <c r="D65" s="63"/>
      <c r="E65" s="60"/>
      <c r="F65" s="60"/>
      <c r="G65" s="60"/>
      <c r="H65" s="60"/>
      <c r="I65" s="60"/>
      <c r="J65" s="60"/>
      <c r="K65" s="60"/>
      <c r="L65" s="60"/>
      <c r="AA65" s="1"/>
      <c r="AB65" s="1"/>
      <c r="AC65" s="1"/>
    </row>
    <row r="66" spans="2:29" x14ac:dyDescent="0.15">
      <c r="B66" s="1"/>
      <c r="C66" s="63"/>
      <c r="D66" s="63"/>
      <c r="E66" s="60"/>
      <c r="F66" s="60"/>
      <c r="G66" s="60"/>
      <c r="H66" s="60"/>
      <c r="I66" s="60"/>
      <c r="J66" s="60"/>
      <c r="K66" s="60"/>
      <c r="L66" s="60"/>
      <c r="AA66" s="1"/>
      <c r="AB66" s="1"/>
      <c r="AC66" s="1"/>
    </row>
    <row r="67" spans="2:29" x14ac:dyDescent="0.15">
      <c r="B67" s="1"/>
      <c r="C67" s="63"/>
      <c r="D67" s="63"/>
      <c r="E67" s="60"/>
      <c r="F67" s="60"/>
      <c r="G67" s="60"/>
      <c r="H67" s="60"/>
      <c r="I67" s="60"/>
      <c r="J67" s="60"/>
      <c r="K67" s="60"/>
      <c r="L67" s="60"/>
      <c r="AA67" s="1"/>
      <c r="AB67" s="1"/>
      <c r="AC67" s="1"/>
    </row>
    <row r="68" spans="2:29" x14ac:dyDescent="0.15">
      <c r="B68" s="1"/>
      <c r="C68" s="78"/>
      <c r="D68" s="78"/>
      <c r="E68" s="60"/>
      <c r="F68" s="60"/>
      <c r="G68" s="60"/>
      <c r="H68" s="60"/>
      <c r="I68" s="60"/>
      <c r="J68" s="60"/>
      <c r="K68" s="60"/>
      <c r="L68" s="60"/>
      <c r="AA68" s="1"/>
      <c r="AB68" s="1"/>
      <c r="AC68" s="1"/>
    </row>
    <row r="70" spans="2:29" x14ac:dyDescent="0.15">
      <c r="B70" s="1" t="s">
        <v>17</v>
      </c>
      <c r="C70" s="1" t="s">
        <v>24</v>
      </c>
    </row>
    <row r="71" spans="2:29" x14ac:dyDescent="0.15">
      <c r="B71" s="18" t="s">
        <v>80</v>
      </c>
      <c r="C71" s="16" t="s">
        <v>80</v>
      </c>
    </row>
    <row r="72" spans="2:29" x14ac:dyDescent="0.15">
      <c r="B72" s="18" t="s">
        <v>18</v>
      </c>
      <c r="C72" s="16" t="s">
        <v>25</v>
      </c>
    </row>
    <row r="73" spans="2:29" x14ac:dyDescent="0.15">
      <c r="B73" s="18" t="s">
        <v>20</v>
      </c>
      <c r="C73" s="16" t="s">
        <v>26</v>
      </c>
    </row>
    <row r="74" spans="2:29" x14ac:dyDescent="0.15">
      <c r="B74" s="18" t="s">
        <v>19</v>
      </c>
      <c r="C74" s="16" t="s">
        <v>27</v>
      </c>
    </row>
    <row r="75" spans="2:29" x14ac:dyDescent="0.15">
      <c r="B75" s="18" t="s">
        <v>21</v>
      </c>
      <c r="C75" s="16" t="s">
        <v>28</v>
      </c>
    </row>
    <row r="76" spans="2:29" x14ac:dyDescent="0.15">
      <c r="B76" s="18" t="s">
        <v>22</v>
      </c>
      <c r="C76" s="16" t="s">
        <v>29</v>
      </c>
    </row>
    <row r="77" spans="2:29" x14ac:dyDescent="0.15">
      <c r="B77" s="18" t="s">
        <v>23</v>
      </c>
      <c r="C77" s="16" t="s">
        <v>30</v>
      </c>
    </row>
    <row r="78" spans="2:29" x14ac:dyDescent="0.15">
      <c r="C78" s="16" t="s">
        <v>31</v>
      </c>
    </row>
    <row r="79" spans="2:29" x14ac:dyDescent="0.15">
      <c r="C79" s="16" t="s">
        <v>32</v>
      </c>
    </row>
    <row r="80" spans="2:29" x14ac:dyDescent="0.15">
      <c r="C80" s="16" t="s">
        <v>34</v>
      </c>
    </row>
    <row r="81" spans="3:3" x14ac:dyDescent="0.15">
      <c r="C81" s="16" t="s">
        <v>35</v>
      </c>
    </row>
    <row r="82" spans="3:3" x14ac:dyDescent="0.15">
      <c r="C82" s="16" t="s">
        <v>36</v>
      </c>
    </row>
    <row r="83" spans="3:3" x14ac:dyDescent="0.15">
      <c r="C83" s="16" t="s">
        <v>37</v>
      </c>
    </row>
    <row r="84" spans="3:3" x14ac:dyDescent="0.15">
      <c r="C84" s="16" t="s">
        <v>82</v>
      </c>
    </row>
    <row r="85" spans="3:3" x14ac:dyDescent="0.15">
      <c r="C85" s="16" t="s">
        <v>83</v>
      </c>
    </row>
    <row r="86" spans="3:3" x14ac:dyDescent="0.15">
      <c r="C86" s="16" t="s">
        <v>84</v>
      </c>
    </row>
    <row r="87" spans="3:3" x14ac:dyDescent="0.15">
      <c r="C87" s="16" t="s">
        <v>40</v>
      </c>
    </row>
    <row r="88" spans="3:3" x14ac:dyDescent="0.15">
      <c r="C88" s="16" t="s">
        <v>41</v>
      </c>
    </row>
    <row r="89" spans="3:3" x14ac:dyDescent="0.15">
      <c r="C89" s="16" t="s">
        <v>56</v>
      </c>
    </row>
    <row r="90" spans="3:3" x14ac:dyDescent="0.15">
      <c r="C90" s="16" t="s">
        <v>42</v>
      </c>
    </row>
    <row r="91" spans="3:3" x14ac:dyDescent="0.15">
      <c r="C91" s="16" t="s">
        <v>43</v>
      </c>
    </row>
    <row r="92" spans="3:3" x14ac:dyDescent="0.15">
      <c r="C92" s="16" t="s">
        <v>44</v>
      </c>
    </row>
    <row r="93" spans="3:3" x14ac:dyDescent="0.15">
      <c r="C93" s="16" t="s">
        <v>45</v>
      </c>
    </row>
    <row r="94" spans="3:3" x14ac:dyDescent="0.15">
      <c r="C94" s="16" t="s">
        <v>81</v>
      </c>
    </row>
    <row r="95" spans="3:3" x14ac:dyDescent="0.15">
      <c r="C95" s="16" t="s">
        <v>46</v>
      </c>
    </row>
    <row r="96" spans="3:3" x14ac:dyDescent="0.15">
      <c r="C96" s="16" t="s">
        <v>47</v>
      </c>
    </row>
    <row r="97" spans="3:3" x14ac:dyDescent="0.15">
      <c r="C97" s="16" t="s">
        <v>55</v>
      </c>
    </row>
    <row r="98" spans="3:3" x14ac:dyDescent="0.15">
      <c r="C98" s="16" t="s">
        <v>48</v>
      </c>
    </row>
    <row r="99" spans="3:3" x14ac:dyDescent="0.15">
      <c r="C99" s="16" t="s">
        <v>49</v>
      </c>
    </row>
    <row r="100" spans="3:3" x14ac:dyDescent="0.15">
      <c r="C100" s="16" t="s">
        <v>50</v>
      </c>
    </row>
    <row r="101" spans="3:3" x14ac:dyDescent="0.15">
      <c r="C101" s="16" t="s">
        <v>51</v>
      </c>
    </row>
    <row r="102" spans="3:3" x14ac:dyDescent="0.15">
      <c r="C102" s="16" t="s">
        <v>52</v>
      </c>
    </row>
    <row r="103" spans="3:3" x14ac:dyDescent="0.15">
      <c r="C103" s="16" t="s">
        <v>53</v>
      </c>
    </row>
    <row r="104" spans="3:3" x14ac:dyDescent="0.15">
      <c r="C104" s="16" t="s">
        <v>54</v>
      </c>
    </row>
    <row r="105" spans="3:3" x14ac:dyDescent="0.15">
      <c r="C105" s="16" t="s">
        <v>38</v>
      </c>
    </row>
    <row r="106" spans="3:3" x14ac:dyDescent="0.15">
      <c r="C106" s="17" t="s">
        <v>39</v>
      </c>
    </row>
    <row r="107" spans="3:3" x14ac:dyDescent="0.15">
      <c r="C107" s="16" t="s">
        <v>57</v>
      </c>
    </row>
    <row r="108" spans="3:3" x14ac:dyDescent="0.15">
      <c r="C108" s="16" t="s">
        <v>58</v>
      </c>
    </row>
    <row r="109" spans="3:3" x14ac:dyDescent="0.15">
      <c r="C109" s="17" t="s">
        <v>59</v>
      </c>
    </row>
    <row r="110" spans="3:3" x14ac:dyDescent="0.15">
      <c r="C110" s="16" t="s">
        <v>33</v>
      </c>
    </row>
    <row r="111" spans="3:3" x14ac:dyDescent="0.15">
      <c r="C111" s="16" t="s">
        <v>60</v>
      </c>
    </row>
    <row r="112" spans="3:3" x14ac:dyDescent="0.15">
      <c r="C112" s="16" t="s">
        <v>73</v>
      </c>
    </row>
    <row r="113" spans="3:3" x14ac:dyDescent="0.15">
      <c r="C113" s="16" t="s">
        <v>74</v>
      </c>
    </row>
    <row r="114" spans="3:3" x14ac:dyDescent="0.15">
      <c r="C114" s="16" t="s">
        <v>61</v>
      </c>
    </row>
    <row r="115" spans="3:3" x14ac:dyDescent="0.15">
      <c r="C115" s="16" t="s">
        <v>62</v>
      </c>
    </row>
    <row r="116" spans="3:3" x14ac:dyDescent="0.15">
      <c r="C116" s="16" t="s">
        <v>75</v>
      </c>
    </row>
    <row r="117" spans="3:3" x14ac:dyDescent="0.15">
      <c r="C117" s="16" t="s">
        <v>63</v>
      </c>
    </row>
    <row r="118" spans="3:3" x14ac:dyDescent="0.15">
      <c r="C118" s="16" t="s">
        <v>76</v>
      </c>
    </row>
    <row r="119" spans="3:3" x14ac:dyDescent="0.15">
      <c r="C119" s="16" t="s">
        <v>64</v>
      </c>
    </row>
    <row r="120" spans="3:3" x14ac:dyDescent="0.15">
      <c r="C120" s="16" t="s">
        <v>65</v>
      </c>
    </row>
    <row r="121" spans="3:3" x14ac:dyDescent="0.15">
      <c r="C121" s="16" t="s">
        <v>66</v>
      </c>
    </row>
    <row r="122" spans="3:3" x14ac:dyDescent="0.15">
      <c r="C122" s="16" t="s">
        <v>77</v>
      </c>
    </row>
    <row r="123" spans="3:3" x14ac:dyDescent="0.15">
      <c r="C123" s="16" t="s">
        <v>78</v>
      </c>
    </row>
    <row r="124" spans="3:3" x14ac:dyDescent="0.15">
      <c r="C124" s="16" t="s">
        <v>67</v>
      </c>
    </row>
    <row r="125" spans="3:3" x14ac:dyDescent="0.15">
      <c r="C125" s="16" t="s">
        <v>79</v>
      </c>
    </row>
    <row r="126" spans="3:3" x14ac:dyDescent="0.15">
      <c r="C126" s="16" t="s">
        <v>68</v>
      </c>
    </row>
    <row r="127" spans="3:3" x14ac:dyDescent="0.15">
      <c r="C127" s="16" t="s">
        <v>69</v>
      </c>
    </row>
    <row r="128" spans="3:3" x14ac:dyDescent="0.15">
      <c r="C128" s="16" t="s">
        <v>70</v>
      </c>
    </row>
    <row r="129" spans="3:3" x14ac:dyDescent="0.15">
      <c r="C129" s="16" t="s">
        <v>71</v>
      </c>
    </row>
    <row r="130" spans="3:3" x14ac:dyDescent="0.15">
      <c r="C130" s="16" t="s">
        <v>72</v>
      </c>
    </row>
    <row r="131" spans="3:3" x14ac:dyDescent="0.15">
      <c r="C131" s="16">
        <v>0</v>
      </c>
    </row>
    <row r="132" spans="3:3" x14ac:dyDescent="0.15">
      <c r="C132" s="16">
        <v>1</v>
      </c>
    </row>
    <row r="133" spans="3:3" x14ac:dyDescent="0.15">
      <c r="C133" s="16">
        <v>2</v>
      </c>
    </row>
    <row r="134" spans="3:3" x14ac:dyDescent="0.15">
      <c r="C134" s="16">
        <v>3</v>
      </c>
    </row>
    <row r="135" spans="3:3" x14ac:dyDescent="0.15">
      <c r="C135" s="16">
        <v>4</v>
      </c>
    </row>
    <row r="136" spans="3:3" x14ac:dyDescent="0.15">
      <c r="C136" s="16">
        <v>5</v>
      </c>
    </row>
    <row r="137" spans="3:3" x14ac:dyDescent="0.15">
      <c r="C137" s="16">
        <v>6</v>
      </c>
    </row>
    <row r="138" spans="3:3" x14ac:dyDescent="0.15">
      <c r="C138" s="16">
        <v>7</v>
      </c>
    </row>
    <row r="139" spans="3:3" x14ac:dyDescent="0.15">
      <c r="C139" s="16">
        <v>8</v>
      </c>
    </row>
    <row r="140" spans="3:3" x14ac:dyDescent="0.15">
      <c r="C140" s="16">
        <v>9</v>
      </c>
    </row>
  </sheetData>
  <sheetProtection formatColumns="0" formatRows="0"/>
  <mergeCells count="1">
    <mergeCell ref="N2:O3"/>
  </mergeCells>
  <conditionalFormatting sqref="D6">
    <cfRule type="expression" dxfId="2559" priority="2">
      <formula>$C$6="No"</formula>
    </cfRule>
  </conditionalFormatting>
  <conditionalFormatting sqref="D7:E7">
    <cfRule type="expression" dxfId="2558" priority="1">
      <formula>$C$7="No"</formula>
    </cfRule>
  </conditionalFormatting>
  <dataValidations count="3">
    <dataValidation type="list" allowBlank="1" showInputMessage="1" showErrorMessage="1" sqref="C5:C8">
      <formula1>"Yes,No"</formula1>
    </dataValidation>
    <dataValidation type="list" allowBlank="1" showInputMessage="1" showErrorMessage="1" sqref="C9">
      <formula1>"Normal,Headless"</formula1>
    </dataValidation>
    <dataValidation type="list" allowBlank="1" showInputMessage="1" showErrorMessage="1" sqref="C10">
      <formula1>"Local,Central"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17A8E9"/>
  </sheetPr>
  <dimension ref="A1:BB909"/>
  <sheetViews>
    <sheetView zoomScale="120" zoomScaleNormal="120" zoomScalePageLayoutView="120" workbookViewId="0">
      <pane ySplit="1" topLeftCell="A2" activePane="bottomLeft" state="frozen"/>
      <selection pane="bottomLeft" activeCell="E45" sqref="E45"/>
    </sheetView>
  </sheetViews>
  <sheetFormatPr baseColWidth="10" defaultColWidth="9.1640625" defaultRowHeight="12" x14ac:dyDescent="0.15"/>
  <cols>
    <col min="1" max="1" width="3" style="2" bestFit="1" customWidth="1"/>
    <col min="2" max="2" width="16.6640625" style="2" customWidth="1"/>
    <col min="3" max="3" width="24.5" style="72" customWidth="1"/>
    <col min="4" max="4" width="32" style="72" customWidth="1"/>
    <col min="5" max="5" width="26.6640625" style="2" customWidth="1"/>
    <col min="6" max="6" width="10.5" style="2" bestFit="1" customWidth="1"/>
    <col min="7" max="7" width="6.5" style="2" customWidth="1"/>
    <col min="8" max="8" width="24.1640625" style="2" customWidth="1"/>
    <col min="9" max="9" width="12.5" style="2" bestFit="1" customWidth="1"/>
    <col min="10" max="10" width="13.33203125" style="2" customWidth="1"/>
    <col min="11" max="25" width="9.1640625" style="2"/>
    <col min="26" max="26" width="5.83203125" style="2" bestFit="1" customWidth="1"/>
    <col min="27" max="27" width="9" style="2" bestFit="1" customWidth="1"/>
    <col min="28" max="52" width="9.1640625" style="2"/>
    <col min="53" max="53" width="5.6640625" style="2" bestFit="1" customWidth="1"/>
    <col min="54" max="16384" width="9.1640625" style="2"/>
  </cols>
  <sheetData>
    <row r="1" spans="1:54" x14ac:dyDescent="0.15">
      <c r="A1" s="13" t="s">
        <v>88</v>
      </c>
      <c r="B1" s="25" t="s">
        <v>0</v>
      </c>
      <c r="C1" s="13" t="s">
        <v>10</v>
      </c>
      <c r="D1" s="13" t="s">
        <v>1</v>
      </c>
      <c r="E1" s="13" t="s">
        <v>2</v>
      </c>
      <c r="F1" s="13" t="s">
        <v>11</v>
      </c>
      <c r="G1" s="13" t="s">
        <v>12</v>
      </c>
      <c r="H1" s="13" t="s">
        <v>13</v>
      </c>
      <c r="Z1" s="32" t="s">
        <v>101</v>
      </c>
      <c r="AA1" s="2" t="s">
        <v>85</v>
      </c>
      <c r="BA1" s="2" t="s">
        <v>89</v>
      </c>
      <c r="BB1" s="2" t="s">
        <v>124</v>
      </c>
    </row>
    <row r="2" spans="1:54" x14ac:dyDescent="0.15">
      <c r="A2" s="26" t="str">
        <f t="shared" ref="A2:A25" si="0">IF(TRIM(B2)&lt;&gt;"","#"&amp;ROW()-1,"")</f>
        <v>#1</v>
      </c>
      <c r="B2" s="27" t="s">
        <v>143</v>
      </c>
      <c r="C2" s="28" t="str">
        <f>IF(TRIM($B2)&lt;&gt;"",INDEX(Config!$B$13:$L$78,MATCH($B2,Config!$B$13:$B$78,0),2),"")</f>
        <v>Provide the ID</v>
      </c>
      <c r="D2" s="74" t="s">
        <v>160</v>
      </c>
      <c r="E2" s="73"/>
      <c r="F2" s="14"/>
      <c r="G2" s="14"/>
      <c r="H2" s="29"/>
      <c r="Z2" s="2">
        <f>IF(TRIM($B2)&lt;&gt;"",INDEX(Config!$B$13:$AZ$78,MATCH($B2,Config!$B$13:$B$78,0),26),"")</f>
        <v>1</v>
      </c>
    </row>
    <row r="3" spans="1:54" ht="13" thickBot="1" x14ac:dyDescent="0.2">
      <c r="A3" s="26" t="str">
        <f t="shared" si="0"/>
        <v>#2</v>
      </c>
      <c r="B3" s="27" t="s">
        <v>162</v>
      </c>
      <c r="C3" s="82" t="str">
        <f>IF(TRIM($B3)&lt;&gt;"",INDEX(Config!$B$13:$L$78,MATCH($B3,Config!$B$13:$B$78,0),2),"")</f>
        <v>Provide the Class Name &amp; Text</v>
      </c>
      <c r="D3" s="74" t="s">
        <v>164</v>
      </c>
      <c r="E3" s="71" t="s">
        <v>165</v>
      </c>
      <c r="F3" s="14"/>
      <c r="G3" s="14"/>
      <c r="H3" s="29"/>
      <c r="Z3" s="2">
        <f>IF(TRIM($B3)&lt;&gt;"",INDEX(Config!$B$13:$AZ$78,MATCH($B3,Config!$B$13:$B$78,0),26),"")</f>
        <v>12</v>
      </c>
    </row>
    <row r="4" spans="1:54" x14ac:dyDescent="0.15">
      <c r="A4" s="26" t="str">
        <f t="shared" si="0"/>
        <v>#3</v>
      </c>
      <c r="B4" s="27" t="s">
        <v>143</v>
      </c>
      <c r="C4" s="82" t="str">
        <f>IF(TRIM($B4)&lt;&gt;"",INDEX(Config!$B$13:$L$78,MATCH($B4,Config!$B$13:$B$78,0),2),"")</f>
        <v>Provide the ID</v>
      </c>
      <c r="D4" s="74" t="s">
        <v>168</v>
      </c>
      <c r="E4" s="71"/>
      <c r="F4" s="14"/>
      <c r="G4" s="14"/>
      <c r="H4" s="29"/>
      <c r="I4" s="88"/>
      <c r="J4" s="90"/>
      <c r="Z4" s="2">
        <f>IF(TRIM($B4)&lt;&gt;"",INDEX(Config!$B$13:$AZ$78,MATCH($B4,Config!$B$13:$B$78,0),26),"")</f>
        <v>1</v>
      </c>
    </row>
    <row r="5" spans="1:54" ht="13" thickBot="1" x14ac:dyDescent="0.2">
      <c r="A5" s="26" t="str">
        <f t="shared" si="0"/>
        <v>#4</v>
      </c>
      <c r="B5" s="27" t="s">
        <v>166</v>
      </c>
      <c r="C5" s="28" t="str">
        <f>IF(TRIM($B5)&lt;&gt;"",INDEX(Config!$B$13:$L$78,MATCH($B5,Config!$B$13:$B$78,0),2),"")</f>
        <v>Provide the ID &amp; Text</v>
      </c>
      <c r="D5" s="74" t="s">
        <v>169</v>
      </c>
      <c r="E5" s="83" t="s">
        <v>170</v>
      </c>
      <c r="F5" s="14"/>
      <c r="G5" s="14"/>
      <c r="H5" s="14"/>
      <c r="I5" s="89"/>
      <c r="J5" s="91"/>
      <c r="Z5" s="2">
        <f>IF(TRIM($B5)&lt;&gt;"",INDEX(Config!$B$13:$AZ$78,MATCH($B5,Config!$B$13:$B$78,0),26),"")</f>
        <v>12</v>
      </c>
    </row>
    <row r="6" spans="1:54" x14ac:dyDescent="0.15">
      <c r="A6" s="26" t="str">
        <f t="shared" si="0"/>
        <v>#5</v>
      </c>
      <c r="B6" s="27" t="s">
        <v>143</v>
      </c>
      <c r="C6" s="28" t="str">
        <f>IF(TRIM($B6)&lt;&gt;"",INDEX(Config!$B$13:$L$78,MATCH($B6,Config!$B$13:$B$78,0),2),"")</f>
        <v>Provide the ID</v>
      </c>
      <c r="D6" s="74" t="s">
        <v>171</v>
      </c>
      <c r="E6" s="30"/>
      <c r="F6" s="14"/>
      <c r="G6" s="14"/>
      <c r="H6" s="29"/>
      <c r="Z6" s="2">
        <f>IF(TRIM($B6)&lt;&gt;"",INDEX(Config!$B$13:$AZ$78,MATCH($B6,Config!$B$13:$B$78,0),26),"")</f>
        <v>1</v>
      </c>
    </row>
    <row r="7" spans="1:54" ht="13" thickBot="1" x14ac:dyDescent="0.2">
      <c r="A7" s="26" t="str">
        <f t="shared" si="0"/>
        <v>#6</v>
      </c>
      <c r="B7" s="27" t="s">
        <v>161</v>
      </c>
      <c r="C7" s="28" t="str">
        <f>IF(TRIM($B7)&lt;&gt;"",INDEX(Config!$B$13:$L$78,MATCH($B7,Config!$B$13:$B$78,0),2),"")</f>
        <v>Provide the Class Name</v>
      </c>
      <c r="D7" s="74" t="s">
        <v>172</v>
      </c>
      <c r="E7" s="30"/>
      <c r="F7" s="14"/>
      <c r="G7" s="14"/>
      <c r="H7" s="29"/>
      <c r="Z7" s="2">
        <f>IF(TRIM($B7)&lt;&gt;"",INDEX(Config!$B$13:$AZ$78,MATCH($B7,Config!$B$13:$B$78,0),26),"")</f>
        <v>1</v>
      </c>
    </row>
    <row r="8" spans="1:54" x14ac:dyDescent="0.15">
      <c r="A8" s="26" t="str">
        <f t="shared" si="0"/>
        <v>#7</v>
      </c>
      <c r="B8" s="27" t="s">
        <v>173</v>
      </c>
      <c r="C8" s="28" t="str">
        <f>IF(TRIM($B8)&lt;&gt;"",INDEX(Config!$B$13:$L$78,MATCH($B8,Config!$B$13:$B$78,0),2),"")</f>
        <v>Provide get class name and Input class name</v>
      </c>
      <c r="D8" s="74" t="s">
        <v>175</v>
      </c>
      <c r="E8" s="14" t="s">
        <v>176</v>
      </c>
      <c r="F8" s="14"/>
      <c r="G8" s="14"/>
      <c r="H8" s="14"/>
      <c r="I8" s="88"/>
      <c r="J8" s="90" t="s">
        <v>109</v>
      </c>
      <c r="Z8" s="2">
        <f>IF(TRIM($B8)&lt;&gt;"",INDEX(Config!$B$13:$AZ$78,MATCH($B8,Config!$B$13:$B$78,0),26),"")</f>
        <v>12</v>
      </c>
    </row>
    <row r="9" spans="1:54" ht="13" thickBot="1" x14ac:dyDescent="0.2">
      <c r="A9" s="26" t="str">
        <f t="shared" si="0"/>
        <v>#8</v>
      </c>
      <c r="B9" s="27" t="s">
        <v>166</v>
      </c>
      <c r="C9" s="28" t="str">
        <f>IF(TRIM($B9)&lt;&gt;"",INDEX(Config!$B$13:$L$78,MATCH($B9,Config!$B$13:$B$78,0),2),"")</f>
        <v>Provide the ID &amp; Text</v>
      </c>
      <c r="D9" s="60" t="s">
        <v>176</v>
      </c>
      <c r="E9" s="71">
        <v>332434</v>
      </c>
      <c r="F9" s="14"/>
      <c r="G9" s="14"/>
      <c r="H9" s="14"/>
      <c r="I9" s="89"/>
      <c r="J9" s="91"/>
      <c r="Z9" s="2">
        <f>IF(TRIM($B9)&lt;&gt;"",INDEX(Config!$B$13:$AZ$78,MATCH($B9,Config!$B$13:$B$78,0),26),"")</f>
        <v>12</v>
      </c>
    </row>
    <row r="10" spans="1:54" x14ac:dyDescent="0.15">
      <c r="A10" s="26" t="str">
        <f t="shared" si="0"/>
        <v>#9</v>
      </c>
      <c r="B10" s="27" t="s">
        <v>143</v>
      </c>
      <c r="C10" s="28" t="str">
        <f>IF(TRIM($B10)&lt;&gt;"",INDEX(Config!$B$13:$L$78,MATCH($B10,Config!$B$13:$B$78,0),2),"")</f>
        <v>Provide the ID</v>
      </c>
      <c r="D10" s="60" t="s">
        <v>172</v>
      </c>
      <c r="E10" s="14"/>
      <c r="F10" s="14"/>
      <c r="G10" s="14"/>
      <c r="H10" s="29"/>
      <c r="Z10" s="2">
        <f>IF(TRIM($B10)&lt;&gt;"",INDEX(Config!$B$13:$AZ$78,MATCH($B10,Config!$B$13:$B$78,0),26),"")</f>
        <v>1</v>
      </c>
    </row>
    <row r="11" spans="1:54" x14ac:dyDescent="0.15">
      <c r="A11" s="26" t="str">
        <f t="shared" si="0"/>
        <v>#10</v>
      </c>
      <c r="B11" s="27" t="s">
        <v>166</v>
      </c>
      <c r="C11" s="28" t="str">
        <f>IF(TRIM($B11)&lt;&gt;"",INDEX(Config!$B$13:$L$78,MATCH($B11,Config!$B$13:$B$78,0),2),"")</f>
        <v>Provide the ID &amp; Text</v>
      </c>
      <c r="D11" s="60" t="s">
        <v>159</v>
      </c>
      <c r="E11" s="14" t="s">
        <v>177</v>
      </c>
      <c r="F11" s="14"/>
      <c r="G11" s="14"/>
      <c r="H11" s="29"/>
      <c r="Z11" s="2">
        <f>IF(TRIM($B11)&lt;&gt;"",INDEX(Config!$B$13:$AZ$78,MATCH($B11,Config!$B$13:$B$78,0),26),"")</f>
        <v>12</v>
      </c>
    </row>
    <row r="12" spans="1:54" x14ac:dyDescent="0.15">
      <c r="A12" s="26" t="str">
        <f t="shared" si="0"/>
        <v>#11</v>
      </c>
      <c r="B12" s="27" t="s">
        <v>147</v>
      </c>
      <c r="C12" s="28" t="str">
        <f>IF(TRIM($B12)&lt;&gt;"",INDEX(Config!$B$13:$L$78,MATCH($B12,Config!$B$13:$B$78,0),2),"")</f>
        <v>Provide get class name and Index</v>
      </c>
      <c r="D12" s="60" t="s">
        <v>179</v>
      </c>
      <c r="E12" s="14">
        <v>1</v>
      </c>
      <c r="F12" s="14"/>
      <c r="G12" s="14"/>
      <c r="H12" s="29"/>
      <c r="Z12" s="2">
        <f>IF(TRIM($B12)&lt;&gt;"",INDEX(Config!$B$13:$AZ$78,MATCH($B12,Config!$B$13:$B$78,0),26),"")</f>
        <v>12</v>
      </c>
    </row>
    <row r="13" spans="1:54" x14ac:dyDescent="0.15">
      <c r="A13" s="26" t="str">
        <f t="shared" si="0"/>
        <v>#12</v>
      </c>
      <c r="B13" s="27" t="s">
        <v>180</v>
      </c>
      <c r="C13" s="28" t="str">
        <f>IF(TRIM($B13)&lt;&gt;"",INDEX(Config!$B$13:$L$78,MATCH($B13,Config!$B$13:$B$78,0),2),"")</f>
        <v>Provide get class name and Text value to verify</v>
      </c>
      <c r="D13" s="60" t="s">
        <v>164</v>
      </c>
      <c r="E13" s="14" t="s">
        <v>182</v>
      </c>
      <c r="F13" s="14"/>
      <c r="G13" s="14"/>
      <c r="H13" s="29"/>
      <c r="Z13" s="2">
        <f>IF(TRIM($B13)&lt;&gt;"",INDEX(Config!$B$13:$AZ$78,MATCH($B13,Config!$B$13:$B$78,0),26),"")</f>
        <v>12</v>
      </c>
    </row>
    <row r="14" spans="1:54" x14ac:dyDescent="0.15">
      <c r="A14" s="26" t="str">
        <f t="shared" si="0"/>
        <v>#13</v>
      </c>
      <c r="B14" s="27" t="s">
        <v>180</v>
      </c>
      <c r="C14" s="28" t="str">
        <f>IF(TRIM($B14)&lt;&gt;"",INDEX(Config!$B$13:$L$78,MATCH($B14,Config!$B$13:$B$78,0),2),"")</f>
        <v>Provide get class name and Text value to verify</v>
      </c>
      <c r="D14" s="60" t="s">
        <v>164</v>
      </c>
      <c r="E14" s="14" t="s">
        <v>183</v>
      </c>
      <c r="F14" s="14"/>
      <c r="G14" s="14"/>
      <c r="H14" s="29"/>
      <c r="Z14" s="2">
        <f>IF(TRIM($B14)&lt;&gt;"",INDEX(Config!$B$13:$AZ$78,MATCH($B14,Config!$B$13:$B$78,0),26),"")</f>
        <v>12</v>
      </c>
    </row>
    <row r="15" spans="1:54" x14ac:dyDescent="0.15">
      <c r="A15" s="26" t="str">
        <f t="shared" si="0"/>
        <v>#14</v>
      </c>
      <c r="B15" s="27" t="s">
        <v>180</v>
      </c>
      <c r="C15" s="28" t="str">
        <f>IF(TRIM($B15)&lt;&gt;"",INDEX(Config!$B$13:$L$78,MATCH($B15,Config!$B$13:$B$78,0),2),"")</f>
        <v>Provide get class name and Text value to verify</v>
      </c>
      <c r="D15" s="74" t="s">
        <v>172</v>
      </c>
      <c r="E15" s="20" t="s">
        <v>184</v>
      </c>
      <c r="F15" s="14"/>
      <c r="G15" s="14"/>
      <c r="H15" s="29"/>
      <c r="Z15" s="2">
        <f>IF(TRIM($B15)&lt;&gt;"",INDEX(Config!$B$13:$AZ$78,MATCH($B15,Config!$B$13:$B$78,0),26),"")</f>
        <v>12</v>
      </c>
    </row>
    <row r="16" spans="1:54" x14ac:dyDescent="0.15">
      <c r="A16" s="26" t="str">
        <f t="shared" si="0"/>
        <v>#15</v>
      </c>
      <c r="B16" s="27" t="s">
        <v>180</v>
      </c>
      <c r="C16" s="28" t="str">
        <f>IF(TRIM($B16)&lt;&gt;"",INDEX(Config!$B$13:$L$78,MATCH($B16,Config!$B$13:$B$78,0),2),"")</f>
        <v>Provide get class name and Text value to verify</v>
      </c>
      <c r="D16" s="60" t="s">
        <v>172</v>
      </c>
      <c r="E16" s="14" t="s">
        <v>185</v>
      </c>
      <c r="F16" s="14"/>
      <c r="G16" s="14"/>
      <c r="H16" s="29"/>
      <c r="Z16" s="2">
        <f>IF(TRIM($B16)&lt;&gt;"",INDEX(Config!$B$13:$AZ$78,MATCH($B16,Config!$B$13:$B$78,0),26),"")</f>
        <v>12</v>
      </c>
    </row>
    <row r="17" spans="1:26" x14ac:dyDescent="0.15">
      <c r="A17" s="26" t="str">
        <f t="shared" si="0"/>
        <v>#16</v>
      </c>
      <c r="B17" s="14" t="s">
        <v>180</v>
      </c>
      <c r="C17" s="28" t="str">
        <f>IF(TRIM($B17)&lt;&gt;"",INDEX(Config!$B$13:$L$78,MATCH($B17,Config!$B$13:$B$78,0),2),"")</f>
        <v>Provide get class name and Text value to verify</v>
      </c>
      <c r="D17" s="60" t="s">
        <v>164</v>
      </c>
      <c r="E17" s="71" t="s">
        <v>186</v>
      </c>
      <c r="F17" s="14"/>
      <c r="G17" s="14"/>
      <c r="H17" s="29"/>
      <c r="Z17" s="2">
        <f>IF(TRIM($B17)&lt;&gt;"",INDEX(Config!$B$13:$AZ$78,MATCH($B17,Config!$B$13:$B$78,0),26),"")</f>
        <v>12</v>
      </c>
    </row>
    <row r="18" spans="1:26" x14ac:dyDescent="0.15">
      <c r="A18" s="26" t="str">
        <f t="shared" si="0"/>
        <v>#17</v>
      </c>
      <c r="B18" s="14" t="s">
        <v>140</v>
      </c>
      <c r="C18" s="28" t="str">
        <f>IF(TRIM($B18)&lt;&gt;"",INDEX(Config!$B$13:$L$78,MATCH($B18,Config!$B$13:$B$78,0),2),"")</f>
        <v>Provide the Class name</v>
      </c>
      <c r="D18" s="60" t="s">
        <v>172</v>
      </c>
      <c r="E18" s="71"/>
      <c r="F18" s="14"/>
      <c r="G18" s="14"/>
      <c r="H18" s="29"/>
      <c r="Z18" s="2">
        <f>IF(TRIM($B18)&lt;&gt;"",INDEX(Config!$B$13:$AZ$78,MATCH($B18,Config!$B$13:$B$78,0),26),"")</f>
        <v>1</v>
      </c>
    </row>
    <row r="19" spans="1:26" x14ac:dyDescent="0.15">
      <c r="A19" s="26" t="str">
        <f t="shared" si="0"/>
        <v>#18</v>
      </c>
      <c r="B19" s="14" t="s">
        <v>143</v>
      </c>
      <c r="C19" s="28" t="str">
        <f>IF(TRIM($B19)&lt;&gt;"",INDEX(Config!$B$13:$L$78,MATCH($B19,Config!$B$13:$B$78,0),2),"")</f>
        <v>Provide the ID</v>
      </c>
      <c r="D19" s="60" t="s">
        <v>188</v>
      </c>
      <c r="E19" s="14"/>
      <c r="F19" s="14"/>
      <c r="G19" s="14"/>
      <c r="H19" s="29"/>
      <c r="Z19" s="2">
        <f>IF(TRIM($B19)&lt;&gt;"",INDEX(Config!$B$13:$AZ$78,MATCH($B19,Config!$B$13:$B$78,0),26),"")</f>
        <v>1</v>
      </c>
    </row>
    <row r="20" spans="1:26" x14ac:dyDescent="0.15">
      <c r="A20" s="26" t="str">
        <f t="shared" si="0"/>
        <v>#19</v>
      </c>
      <c r="B20" s="14" t="s">
        <v>143</v>
      </c>
      <c r="C20" s="28" t="str">
        <f>IF(TRIM($B20)&lt;&gt;"",INDEX(Config!$B$13:$L$78,MATCH($B20,Config!$B$13:$B$78,0),2),"")</f>
        <v>Provide the ID</v>
      </c>
      <c r="D20" s="60" t="s">
        <v>189</v>
      </c>
      <c r="E20" s="71"/>
      <c r="F20" s="14"/>
      <c r="G20" s="14"/>
      <c r="H20" s="29"/>
      <c r="Z20" s="2">
        <f>IF(TRIM($B20)&lt;&gt;"",INDEX(Config!$B$13:$AZ$78,MATCH($B20,Config!$B$13:$B$78,0),26),"")</f>
        <v>1</v>
      </c>
    </row>
    <row r="21" spans="1:26" x14ac:dyDescent="0.15">
      <c r="A21" s="26" t="str">
        <f t="shared" si="0"/>
        <v>#20</v>
      </c>
      <c r="B21" s="14" t="s">
        <v>143</v>
      </c>
      <c r="C21" s="28" t="str">
        <f>IF(TRIM($B21)&lt;&gt;"",INDEX(Config!$B$13:$L$78,MATCH($B21,Config!$B$13:$B$78,0),2),"")</f>
        <v>Provide the ID</v>
      </c>
      <c r="D21" s="60" t="s">
        <v>190</v>
      </c>
      <c r="E21" s="71"/>
      <c r="F21" s="14"/>
      <c r="G21" s="14"/>
      <c r="H21" s="29"/>
      <c r="Z21" s="2">
        <f>IF(TRIM($B21)&lt;&gt;"",INDEX(Config!$B$13:$AZ$78,MATCH($B21,Config!$B$13:$B$78,0),26),"")</f>
        <v>1</v>
      </c>
    </row>
    <row r="22" spans="1:26" x14ac:dyDescent="0.15">
      <c r="A22" s="26" t="str">
        <f t="shared" si="0"/>
        <v>#21</v>
      </c>
      <c r="B22" s="14" t="s">
        <v>143</v>
      </c>
      <c r="C22" s="28" t="str">
        <f>IF(TRIM($B22)&lt;&gt;"",INDEX(Config!$B$13:$L$78,MATCH($B22,Config!$B$13:$B$78,0),2),"")</f>
        <v>Provide the ID</v>
      </c>
      <c r="D22" s="60" t="s">
        <v>191</v>
      </c>
      <c r="E22" s="71"/>
      <c r="F22" s="14"/>
      <c r="G22" s="14"/>
      <c r="H22" s="29"/>
      <c r="Z22" s="2">
        <f>IF(TRIM($B22)&lt;&gt;"",INDEX(Config!$B$13:$AZ$78,MATCH($B22,Config!$B$13:$B$78,0),26),"")</f>
        <v>1</v>
      </c>
    </row>
    <row r="23" spans="1:26" x14ac:dyDescent="0.15">
      <c r="A23" s="26" t="str">
        <f t="shared" si="0"/>
        <v>#22</v>
      </c>
      <c r="B23" s="14" t="s">
        <v>162</v>
      </c>
      <c r="C23" s="28" t="str">
        <f>IF(TRIM($B23)&lt;&gt;"",INDEX(Config!$B$13:$L$78,MATCH($B23,Config!$B$13:$B$78,0),2),"")</f>
        <v>Provide the Class Name &amp; Text</v>
      </c>
      <c r="D23" s="60" t="s">
        <v>164</v>
      </c>
      <c r="E23" s="71" t="s">
        <v>192</v>
      </c>
      <c r="F23" s="14"/>
      <c r="G23" s="14"/>
      <c r="H23" s="29"/>
      <c r="Z23" s="2">
        <f>IF(TRIM($B23)&lt;&gt;"",INDEX(Config!$B$13:$AZ$78,MATCH($B23,Config!$B$13:$B$78,0),26),"")</f>
        <v>12</v>
      </c>
    </row>
    <row r="24" spans="1:26" x14ac:dyDescent="0.15">
      <c r="A24" s="26" t="str">
        <f t="shared" si="0"/>
        <v>#23</v>
      </c>
      <c r="B24" s="14" t="s">
        <v>143</v>
      </c>
      <c r="C24" s="28" t="str">
        <f>IF(TRIM($B24)&lt;&gt;"",INDEX(Config!$B$13:$L$78,MATCH($B24,Config!$B$13:$B$78,0),2),"")</f>
        <v>Provide the ID</v>
      </c>
      <c r="D24" s="60" t="s">
        <v>191</v>
      </c>
      <c r="E24" s="71"/>
      <c r="F24" s="14"/>
      <c r="G24" s="14"/>
      <c r="H24" s="29"/>
      <c r="Z24" s="2">
        <f>IF(TRIM($B24)&lt;&gt;"",INDEX(Config!$B$13:$AZ$78,MATCH($B24,Config!$B$13:$B$78,0),26),"")</f>
        <v>1</v>
      </c>
    </row>
    <row r="25" spans="1:26" x14ac:dyDescent="0.15">
      <c r="A25" s="26" t="str">
        <f t="shared" si="0"/>
        <v>#24</v>
      </c>
      <c r="B25" s="14" t="s">
        <v>147</v>
      </c>
      <c r="C25" s="28" t="str">
        <f>IF(TRIM($B25)&lt;&gt;"",INDEX(Config!$B$13:$L$78,MATCH($B25,Config!$B$13:$B$78,0),2),"")</f>
        <v>Provide get class name and Index</v>
      </c>
      <c r="D25" s="60" t="s">
        <v>172</v>
      </c>
      <c r="E25" s="71">
        <v>1</v>
      </c>
      <c r="F25" s="14"/>
      <c r="G25" s="14"/>
      <c r="H25" s="29"/>
      <c r="Z25" s="2">
        <f>IF(TRIM($B25)&lt;&gt;"",INDEX(Config!$B$13:$AZ$78,MATCH($B25,Config!$B$13:$B$78,0),26),"")</f>
        <v>12</v>
      </c>
    </row>
    <row r="26" spans="1:26" x14ac:dyDescent="0.15">
      <c r="A26" s="26" t="str">
        <f t="shared" ref="A26:A52" si="1">IF(TRIM(B26)&lt;&gt;"","#"&amp;ROW()-1,"")</f>
        <v/>
      </c>
      <c r="B26" s="14"/>
      <c r="C26" s="28" t="str">
        <f>IF(TRIM($B26)&lt;&gt;"",INDEX(Config!$B$13:$L$78,MATCH($B26,Config!$B$13:$B$78,0),2),"")</f>
        <v/>
      </c>
      <c r="D26" s="60"/>
      <c r="E26" s="71"/>
      <c r="F26" s="14"/>
      <c r="G26" s="14"/>
      <c r="H26" s="29"/>
      <c r="Z26" s="2" t="str">
        <f>IF(TRIM($B26)&lt;&gt;"",INDEX(Config!$B$13:$AZ$78,MATCH($B26,Config!$B$13:$B$78,0),26),"")</f>
        <v/>
      </c>
    </row>
    <row r="27" spans="1:26" x14ac:dyDescent="0.15">
      <c r="A27" s="26" t="str">
        <f t="shared" si="1"/>
        <v/>
      </c>
      <c r="B27" s="14"/>
      <c r="C27" s="28" t="str">
        <f>IF(TRIM($B27)&lt;&gt;"",INDEX(Config!$B$13:$L$78,MATCH($B27,Config!$B$13:$B$78,0),2),"")</f>
        <v/>
      </c>
      <c r="D27" s="60"/>
      <c r="E27" s="71"/>
      <c r="F27" s="14"/>
      <c r="G27" s="14"/>
      <c r="H27" s="29"/>
      <c r="Z27" s="2" t="str">
        <f>IF(TRIM($B27)&lt;&gt;"",INDEX(Config!$B$13:$AZ$78,MATCH($B27,Config!$B$13:$B$78,0),26),"")</f>
        <v/>
      </c>
    </row>
    <row r="28" spans="1:26" x14ac:dyDescent="0.15">
      <c r="A28" s="26" t="str">
        <f t="shared" si="1"/>
        <v/>
      </c>
      <c r="B28" s="14"/>
      <c r="C28" s="28" t="str">
        <f>IF(TRIM($B28)&lt;&gt;"",INDEX(Config!$B$13:$L$78,MATCH($B28,Config!$B$13:$B$78,0),2),"")</f>
        <v/>
      </c>
      <c r="D28" s="60"/>
      <c r="E28" s="14"/>
      <c r="F28" s="14"/>
      <c r="G28" s="14"/>
      <c r="H28" s="29"/>
      <c r="Z28" s="2" t="str">
        <f>IF(TRIM($B28)&lt;&gt;"",INDEX(Config!$B$13:$AZ$78,MATCH($B28,Config!$B$13:$B$78,0),26),"")</f>
        <v/>
      </c>
    </row>
    <row r="29" spans="1:26" x14ac:dyDescent="0.15">
      <c r="A29" s="26" t="str">
        <f t="shared" si="1"/>
        <v/>
      </c>
      <c r="B29" s="14"/>
      <c r="C29" s="28" t="str">
        <f>IF(TRIM($B29)&lt;&gt;"",INDEX(Config!$B$13:$L$78,MATCH($B29,Config!$B$13:$B$78,0),2),"")</f>
        <v/>
      </c>
      <c r="D29" s="60"/>
      <c r="E29" s="71"/>
      <c r="F29" s="14"/>
      <c r="G29" s="14"/>
      <c r="H29" s="29"/>
      <c r="Z29" s="2" t="str">
        <f>IF(TRIM($B29)&lt;&gt;"",INDEX(Config!$B$13:$AZ$78,MATCH($B29,Config!$B$13:$B$78,0),26),"")</f>
        <v/>
      </c>
    </row>
    <row r="30" spans="1:26" x14ac:dyDescent="0.15">
      <c r="A30" s="26" t="str">
        <f t="shared" si="1"/>
        <v/>
      </c>
      <c r="B30" s="14"/>
      <c r="C30" s="28" t="str">
        <f>IF(TRIM($B30)&lt;&gt;"",INDEX(Config!$B$13:$L$78,MATCH($B30,Config!$B$13:$B$78,0),2),"")</f>
        <v/>
      </c>
      <c r="D30" s="60"/>
      <c r="E30" s="71"/>
      <c r="F30" s="14"/>
      <c r="G30" s="14"/>
      <c r="H30" s="29"/>
      <c r="Z30" s="2" t="str">
        <f>IF(TRIM($B30)&lt;&gt;"",INDEX(Config!$B$13:$AZ$78,MATCH($B30,Config!$B$13:$B$78,0),26),"")</f>
        <v/>
      </c>
    </row>
    <row r="31" spans="1:26" x14ac:dyDescent="0.15">
      <c r="A31" s="26" t="str">
        <f t="shared" si="1"/>
        <v/>
      </c>
      <c r="B31" s="14"/>
      <c r="C31" s="28" t="str">
        <f>IF(TRIM($B31)&lt;&gt;"",INDEX(Config!$B$13:$L$78,MATCH($B31,Config!$B$13:$B$78,0),2),"")</f>
        <v/>
      </c>
      <c r="D31" s="60"/>
      <c r="E31" s="71"/>
      <c r="F31" s="14"/>
      <c r="G31" s="14"/>
      <c r="H31" s="29"/>
      <c r="Z31" s="2" t="str">
        <f>IF(TRIM($B31)&lt;&gt;"",INDEX(Config!$B$13:$AZ$78,MATCH($B31,Config!$B$13:$B$78,0),26),"")</f>
        <v/>
      </c>
    </row>
    <row r="32" spans="1:26" x14ac:dyDescent="0.15">
      <c r="A32" s="26" t="str">
        <f t="shared" si="1"/>
        <v/>
      </c>
      <c r="B32" s="14"/>
      <c r="C32" s="28" t="str">
        <f>IF(TRIM($B32)&lt;&gt;"",INDEX(Config!$B$13:$L$78,MATCH($B32,Config!$B$13:$B$78,0),2),"")</f>
        <v/>
      </c>
      <c r="D32" s="60"/>
      <c r="E32" s="71"/>
      <c r="F32" s="14"/>
      <c r="G32" s="14"/>
      <c r="H32" s="29"/>
      <c r="Z32" s="2" t="str">
        <f>IF(TRIM($B32)&lt;&gt;"",INDEX(Config!$B$13:$AZ$78,MATCH($B32,Config!$B$13:$B$78,0),26),"")</f>
        <v/>
      </c>
    </row>
    <row r="33" spans="1:26" x14ac:dyDescent="0.15">
      <c r="A33" s="26" t="str">
        <f t="shared" si="1"/>
        <v/>
      </c>
      <c r="B33" s="14"/>
      <c r="C33" s="28" t="str">
        <f>IF(TRIM($B33)&lt;&gt;"",INDEX(Config!$B$13:$L$78,MATCH($B33,Config!$B$13:$B$78,0),2),"")</f>
        <v/>
      </c>
      <c r="D33" s="60"/>
      <c r="E33" s="71"/>
      <c r="F33" s="14"/>
      <c r="G33" s="14"/>
      <c r="H33" s="29"/>
      <c r="Z33" s="2" t="str">
        <f>IF(TRIM($B33)&lt;&gt;"",INDEX(Config!$B$13:$AZ$78,MATCH($B33,Config!$B$13:$B$78,0),26),"")</f>
        <v/>
      </c>
    </row>
    <row r="34" spans="1:26" x14ac:dyDescent="0.15">
      <c r="A34" s="26" t="str">
        <f t="shared" si="1"/>
        <v/>
      </c>
      <c r="B34" s="14"/>
      <c r="C34" s="28" t="str">
        <f>IF(TRIM($B34)&lt;&gt;"",INDEX(Config!$B$13:$L$78,MATCH($B34,Config!$B$13:$B$78,0),2),"")</f>
        <v/>
      </c>
      <c r="D34" s="60"/>
      <c r="E34" s="71"/>
      <c r="F34" s="14"/>
      <c r="G34" s="14"/>
      <c r="H34" s="29"/>
      <c r="Z34" s="2" t="str">
        <f>IF(TRIM($B34)&lt;&gt;"",INDEX(Config!$B$13:$AZ$78,MATCH($B34,Config!$B$13:$B$78,0),26),"")</f>
        <v/>
      </c>
    </row>
    <row r="35" spans="1:26" x14ac:dyDescent="0.15">
      <c r="A35" s="26" t="str">
        <f t="shared" si="1"/>
        <v/>
      </c>
      <c r="B35" s="14"/>
      <c r="C35" s="28" t="str">
        <f>IF(TRIM($B35)&lt;&gt;"",INDEX(Config!$B$13:$L$78,MATCH($B35,Config!$B$13:$B$78,0),2),"")</f>
        <v/>
      </c>
      <c r="D35" s="60"/>
      <c r="E35" s="71"/>
      <c r="F35" s="14"/>
      <c r="G35" s="14"/>
      <c r="H35" s="29"/>
      <c r="Z35" s="2" t="str">
        <f>IF(TRIM($B35)&lt;&gt;"",INDEX(Config!$B$13:$AZ$78,MATCH($B35,Config!$B$13:$B$78,0),26),"")</f>
        <v/>
      </c>
    </row>
    <row r="36" spans="1:26" x14ac:dyDescent="0.15">
      <c r="A36" s="26" t="str">
        <f t="shared" si="1"/>
        <v/>
      </c>
      <c r="B36" s="14"/>
      <c r="C36" s="28" t="str">
        <f>IF(TRIM($B36)&lt;&gt;"",INDEX(Config!$B$13:$L$78,MATCH($B36,Config!$B$13:$B$78,0),2),"")</f>
        <v/>
      </c>
      <c r="D36" s="60"/>
      <c r="E36" s="71"/>
      <c r="F36" s="14"/>
      <c r="G36" s="14"/>
      <c r="H36" s="29"/>
      <c r="Z36" s="2" t="str">
        <f>IF(TRIM($B36)&lt;&gt;"",INDEX(Config!$B$13:$AZ$78,MATCH($B36,Config!$B$13:$B$78,0),26),"")</f>
        <v/>
      </c>
    </row>
    <row r="37" spans="1:26" x14ac:dyDescent="0.15">
      <c r="A37" s="26" t="str">
        <f t="shared" si="1"/>
        <v/>
      </c>
      <c r="B37" s="14"/>
      <c r="C37" s="28" t="str">
        <f>IF(TRIM($B37)&lt;&gt;"",INDEX(Config!$B$13:$L$78,MATCH($B37,Config!$B$13:$B$78,0),2),"")</f>
        <v/>
      </c>
      <c r="D37" s="60"/>
      <c r="E37" s="14"/>
      <c r="F37" s="14"/>
      <c r="G37" s="14"/>
      <c r="H37" s="29"/>
      <c r="Z37" s="2" t="str">
        <f>IF(TRIM($B37)&lt;&gt;"",INDEX(Config!$B$13:$AZ$78,MATCH($B37,Config!$B$13:$B$78,0),26),"")</f>
        <v/>
      </c>
    </row>
    <row r="38" spans="1:26" x14ac:dyDescent="0.15">
      <c r="A38" s="26" t="str">
        <f t="shared" si="1"/>
        <v/>
      </c>
      <c r="B38" s="14"/>
      <c r="C38" s="28" t="str">
        <f>IF(TRIM($B38)&lt;&gt;"",INDEX(Config!$B$13:$L$78,MATCH($B38,Config!$B$13:$B$78,0),2),"")</f>
        <v/>
      </c>
      <c r="D38" s="60"/>
      <c r="E38" s="71"/>
      <c r="F38" s="14"/>
      <c r="G38" s="14"/>
      <c r="H38" s="29"/>
      <c r="Z38" s="2" t="str">
        <f>IF(TRIM($B38)&lt;&gt;"",INDEX(Config!$B$13:$AZ$78,MATCH($B38,Config!$B$13:$B$78,0),26),"")</f>
        <v/>
      </c>
    </row>
    <row r="39" spans="1:26" x14ac:dyDescent="0.15">
      <c r="A39" s="26" t="str">
        <f t="shared" si="1"/>
        <v/>
      </c>
      <c r="B39" s="14"/>
      <c r="C39" s="28" t="str">
        <f>IF(TRIM($B39)&lt;&gt;"",INDEX(Config!$B$13:$L$78,MATCH($B39,Config!$B$13:$B$78,0),2),"")</f>
        <v/>
      </c>
      <c r="D39" s="60"/>
      <c r="E39" s="71"/>
      <c r="F39" s="14"/>
      <c r="G39" s="14"/>
      <c r="H39" s="29"/>
      <c r="Z39" s="2" t="str">
        <f>IF(TRIM($B39)&lt;&gt;"",INDEX(Config!$B$13:$AZ$78,MATCH($B39,Config!$B$13:$B$78,0),26),"")</f>
        <v/>
      </c>
    </row>
    <row r="40" spans="1:26" x14ac:dyDescent="0.15">
      <c r="A40" s="26" t="str">
        <f t="shared" si="1"/>
        <v/>
      </c>
      <c r="B40" s="14"/>
      <c r="C40" s="28" t="str">
        <f>IF(TRIM($B40)&lt;&gt;"",INDEX(Config!$B$13:$L$78,MATCH($B40,Config!$B$13:$B$78,0),2),"")</f>
        <v/>
      </c>
      <c r="D40" s="60"/>
      <c r="E40" s="71"/>
      <c r="F40" s="14"/>
      <c r="G40" s="14"/>
      <c r="H40" s="29"/>
      <c r="Z40" s="2" t="str">
        <f>IF(TRIM($B40)&lt;&gt;"",INDEX(Config!$B$13:$AZ$78,MATCH($B40,Config!$B$13:$B$78,0),26),"")</f>
        <v/>
      </c>
    </row>
    <row r="41" spans="1:26" x14ac:dyDescent="0.15">
      <c r="A41" s="26" t="str">
        <f t="shared" si="1"/>
        <v/>
      </c>
      <c r="B41" s="14"/>
      <c r="C41" s="28" t="str">
        <f>IF(TRIM($B41)&lt;&gt;"",INDEX(Config!$B$13:$L$78,MATCH($B41,Config!$B$13:$B$78,0),2),"")</f>
        <v/>
      </c>
      <c r="D41" s="74"/>
      <c r="E41" s="14"/>
      <c r="F41" s="14"/>
      <c r="G41" s="14"/>
      <c r="H41" s="29"/>
      <c r="Z41" s="2" t="str">
        <f>IF(TRIM($B41)&lt;&gt;"",INDEX(Config!$B$13:$AZ$78,MATCH($B41,Config!$B$13:$B$78,0),26),"")</f>
        <v/>
      </c>
    </row>
    <row r="42" spans="1:26" x14ac:dyDescent="0.15">
      <c r="A42" s="26" t="str">
        <f t="shared" si="1"/>
        <v/>
      </c>
      <c r="B42" s="14"/>
      <c r="C42" s="28" t="str">
        <f>IF(TRIM($B42)&lt;&gt;"",INDEX(Config!$B$13:$L$78,MATCH($B42,Config!$B$13:$B$78,0),2),"")</f>
        <v/>
      </c>
      <c r="D42" s="60"/>
      <c r="E42" s="71"/>
      <c r="F42" s="14"/>
      <c r="G42" s="14"/>
      <c r="H42" s="14"/>
      <c r="Z42" s="2" t="str">
        <f>IF(TRIM($B42)&lt;&gt;"",INDEX(Config!$B$13:$AZ$78,MATCH($B42,Config!$B$13:$B$78,0),26),"")</f>
        <v/>
      </c>
    </row>
    <row r="43" spans="1:26" x14ac:dyDescent="0.15">
      <c r="A43" s="26" t="str">
        <f t="shared" si="1"/>
        <v/>
      </c>
      <c r="B43" s="14"/>
      <c r="C43" s="28" t="str">
        <f>IF(TRIM($B43)&lt;&gt;"",INDEX(Config!$B$13:$L$78,MATCH($B43,Config!$B$13:$B$78,0),2),"")</f>
        <v/>
      </c>
      <c r="D43" s="60"/>
      <c r="E43" s="71"/>
      <c r="F43" s="14"/>
      <c r="G43" s="14"/>
      <c r="H43" s="14"/>
      <c r="Z43" s="2" t="str">
        <f>IF(TRIM($B43)&lt;&gt;"",INDEX(Config!$B$13:$AZ$78,MATCH($B43,Config!$B$13:$B$78,0),26),"")</f>
        <v/>
      </c>
    </row>
    <row r="44" spans="1:26" x14ac:dyDescent="0.15">
      <c r="A44" s="26" t="str">
        <f t="shared" si="1"/>
        <v/>
      </c>
      <c r="B44" s="14"/>
      <c r="C44" s="28" t="str">
        <f>IF(TRIM($B44)&lt;&gt;"",INDEX(Config!$B$13:$L$78,MATCH($B44,Config!$B$13:$B$78,0),2),"")</f>
        <v/>
      </c>
      <c r="D44" s="74"/>
      <c r="E44" s="14"/>
      <c r="F44" s="14"/>
      <c r="G44" s="14"/>
      <c r="H44" s="14"/>
      <c r="Z44" s="2" t="str">
        <f>IF(TRIM($B44)&lt;&gt;"",INDEX(Config!$B$13:$AZ$78,MATCH($B44,Config!$B$13:$B$78,0),26),"")</f>
        <v/>
      </c>
    </row>
    <row r="45" spans="1:26" x14ac:dyDescent="0.15">
      <c r="A45" s="26" t="str">
        <f t="shared" si="1"/>
        <v/>
      </c>
      <c r="B45" s="14"/>
      <c r="C45" s="28" t="str">
        <f>IF(TRIM($B45)&lt;&gt;"",INDEX(Config!$B$13:$L$78,MATCH($B45,Config!$B$13:$B$78,0),2),"")</f>
        <v/>
      </c>
      <c r="D45" s="74"/>
      <c r="E45" s="14"/>
      <c r="F45" s="14"/>
      <c r="G45" s="14"/>
      <c r="H45" s="14"/>
      <c r="Z45" s="2" t="str">
        <f>IF(TRIM($B45)&lt;&gt;"",INDEX(Config!$B$13:$AZ$78,MATCH($B45,Config!$B$13:$B$78,0),26),"")</f>
        <v/>
      </c>
    </row>
    <row r="46" spans="1:26" x14ac:dyDescent="0.15">
      <c r="A46" s="26" t="str">
        <f t="shared" si="1"/>
        <v/>
      </c>
      <c r="B46" s="14"/>
      <c r="C46" s="28" t="str">
        <f>IF(TRIM($B46)&lt;&gt;"",INDEX(Config!$B$13:$L$78,MATCH($B46,Config!$B$13:$B$78,0),2),"")</f>
        <v/>
      </c>
      <c r="D46" s="74"/>
      <c r="E46" s="14"/>
      <c r="F46" s="14"/>
      <c r="G46" s="14"/>
      <c r="H46" s="14"/>
      <c r="Z46" s="2" t="str">
        <f>IF(TRIM($B46)&lt;&gt;"",INDEX(Config!$B$13:$AZ$78,MATCH($B46,Config!$B$13:$B$78,0),26),"")</f>
        <v/>
      </c>
    </row>
    <row r="47" spans="1:26" x14ac:dyDescent="0.15">
      <c r="A47" s="26" t="str">
        <f t="shared" si="1"/>
        <v/>
      </c>
      <c r="B47" s="14"/>
      <c r="C47" s="28" t="str">
        <f>IF(TRIM($B47)&lt;&gt;"",INDEX(Config!$B$13:$L$78,MATCH($B47,Config!$B$13:$B$78,0),2),"")</f>
        <v/>
      </c>
      <c r="D47" s="74"/>
      <c r="E47" s="14"/>
      <c r="F47" s="14"/>
      <c r="G47" s="14"/>
      <c r="H47" s="14"/>
      <c r="Z47" s="2" t="str">
        <f>IF(TRIM($B47)&lt;&gt;"",INDEX(Config!$B$13:$AZ$78,MATCH($B47,Config!$B$13:$B$78,0),26),"")</f>
        <v/>
      </c>
    </row>
    <row r="48" spans="1:26" x14ac:dyDescent="0.15">
      <c r="A48" s="26" t="str">
        <f t="shared" si="1"/>
        <v/>
      </c>
      <c r="B48" s="14"/>
      <c r="C48" s="28" t="str">
        <f>IF(TRIM($B48)&lt;&gt;"",INDEX(Config!$B$13:$L$78,MATCH($B48,Config!$B$13:$B$78,0),2),"")</f>
        <v/>
      </c>
      <c r="D48" s="60"/>
      <c r="E48" s="14"/>
      <c r="F48" s="14"/>
      <c r="G48" s="14"/>
      <c r="H48" s="14"/>
      <c r="Z48" s="2" t="str">
        <f>IF(TRIM($B48)&lt;&gt;"",INDEX(Config!$B$13:$AZ$78,MATCH($B48,Config!$B$13:$B$78,0),26),"")</f>
        <v/>
      </c>
    </row>
    <row r="49" spans="1:26" x14ac:dyDescent="0.15">
      <c r="A49" s="26" t="str">
        <f t="shared" si="1"/>
        <v/>
      </c>
      <c r="B49" s="14"/>
      <c r="C49" s="28" t="str">
        <f>IF(TRIM($B49)&lt;&gt;"",INDEX(Config!$B$13:$L$78,MATCH($B49,Config!$B$13:$B$78,0),2),"")</f>
        <v/>
      </c>
      <c r="D49" s="74"/>
      <c r="E49" s="14"/>
      <c r="F49" s="14"/>
      <c r="G49" s="14"/>
      <c r="H49" s="14"/>
      <c r="Z49" s="2" t="str">
        <f>IF(TRIM($B49)&lt;&gt;"",INDEX(Config!$B$13:$AZ$78,MATCH($B49,Config!$B$13:$B$78,0),26),"")</f>
        <v/>
      </c>
    </row>
    <row r="50" spans="1:26" x14ac:dyDescent="0.15">
      <c r="A50" s="26" t="str">
        <f t="shared" si="1"/>
        <v/>
      </c>
      <c r="B50" s="14"/>
      <c r="C50" s="28" t="str">
        <f>IF(TRIM($B50)&lt;&gt;"",INDEX(Config!$B$13:$L$78,MATCH($B50,Config!$B$13:$B$78,0),2),"")</f>
        <v/>
      </c>
      <c r="D50" s="74"/>
      <c r="E50" s="14"/>
      <c r="F50" s="14"/>
      <c r="G50" s="14"/>
      <c r="H50" s="14"/>
      <c r="Z50" s="2" t="str">
        <f>IF(TRIM($B50)&lt;&gt;"",INDEX(Config!$B$13:$AZ$78,MATCH($B50,Config!$B$13:$B$78,0),26),"")</f>
        <v/>
      </c>
    </row>
    <row r="51" spans="1:26" x14ac:dyDescent="0.15">
      <c r="A51" s="26" t="str">
        <f t="shared" si="1"/>
        <v/>
      </c>
      <c r="B51" s="14"/>
      <c r="C51" s="28" t="str">
        <f>IF(TRIM($B51)&lt;&gt;"",INDEX(Config!$B$13:$L$78,MATCH($B51,Config!$B$13:$B$78,0),2),"")</f>
        <v/>
      </c>
      <c r="D51" s="74"/>
      <c r="E51" s="14"/>
      <c r="F51" s="14"/>
      <c r="G51" s="14"/>
      <c r="H51" s="14"/>
      <c r="Z51" s="2" t="str">
        <f>IF(TRIM($B51)&lt;&gt;"",INDEX(Config!$B$13:$AZ$78,MATCH($B51,Config!$B$13:$B$78,0),26),"")</f>
        <v/>
      </c>
    </row>
    <row r="52" spans="1:26" x14ac:dyDescent="0.15">
      <c r="A52" s="26" t="str">
        <f t="shared" si="1"/>
        <v/>
      </c>
      <c r="B52" s="14"/>
      <c r="C52" s="28" t="str">
        <f>IF(TRIM($B52)&lt;&gt;"",INDEX(Config!$B$13:$L$78,MATCH($B52,Config!$B$13:$B$78,0),2),"")</f>
        <v/>
      </c>
      <c r="D52" s="74"/>
      <c r="E52" s="14"/>
      <c r="F52" s="14"/>
      <c r="G52" s="14"/>
      <c r="H52" s="14"/>
      <c r="Z52" s="2" t="str">
        <f>IF(TRIM($B52)&lt;&gt;"",INDEX(Config!$B$13:$AZ$78,MATCH($B52,Config!$B$13:$B$78,0),26),"")</f>
        <v/>
      </c>
    </row>
    <row r="53" spans="1:26" x14ac:dyDescent="0.15">
      <c r="A53" s="26" t="str">
        <f t="shared" ref="A53:A70" si="2">IF(TRIM(B53)&lt;&gt;"","#"&amp;ROW()-1,"")</f>
        <v/>
      </c>
      <c r="B53" s="14"/>
      <c r="C53" s="28" t="str">
        <f>IF(TRIM($B53)&lt;&gt;"",INDEX(Config!$B$13:$L$78,MATCH($B53,Config!$B$13:$B$78,0),2),"")</f>
        <v/>
      </c>
      <c r="D53" s="74"/>
      <c r="E53" s="14"/>
      <c r="F53" s="14"/>
      <c r="G53" s="14"/>
      <c r="H53" s="14"/>
      <c r="Z53" s="2" t="str">
        <f>IF(TRIM($B53)&lt;&gt;"",INDEX(Config!$B$13:$AZ$78,MATCH($B53,Config!$B$13:$B$78,0),26),"")</f>
        <v/>
      </c>
    </row>
    <row r="54" spans="1:26" x14ac:dyDescent="0.15">
      <c r="A54" s="26" t="str">
        <f t="shared" si="2"/>
        <v/>
      </c>
      <c r="B54" s="14"/>
      <c r="C54" s="28" t="str">
        <f>IF(TRIM($B54)&lt;&gt;"",INDEX(Config!$B$13:$L$78,MATCH($B54,Config!$B$13:$B$78,0),2),"")</f>
        <v/>
      </c>
      <c r="D54" s="74"/>
      <c r="E54" s="14"/>
      <c r="F54" s="14"/>
      <c r="G54" s="14"/>
      <c r="H54" s="14"/>
      <c r="Z54" s="2" t="str">
        <f>IF(TRIM($B54)&lt;&gt;"",INDEX(Config!$B$13:$AZ$78,MATCH($B54,Config!$B$13:$B$78,0),26),"")</f>
        <v/>
      </c>
    </row>
    <row r="55" spans="1:26" x14ac:dyDescent="0.15">
      <c r="A55" s="26" t="str">
        <f t="shared" si="2"/>
        <v/>
      </c>
      <c r="B55" s="14"/>
      <c r="C55" s="28" t="str">
        <f>IF(TRIM($B55)&lt;&gt;"",INDEX(Config!$B$13:$L$78,MATCH($B55,Config!$B$13:$B$78,0),2),"")</f>
        <v/>
      </c>
      <c r="D55" s="74"/>
      <c r="E55" s="14"/>
      <c r="F55" s="14"/>
      <c r="G55" s="14"/>
      <c r="H55" s="14"/>
      <c r="Z55" s="2" t="str">
        <f>IF(TRIM($B55)&lt;&gt;"",INDEX(Config!$B$13:$AZ$78,MATCH($B55,Config!$B$13:$B$78,0),26),"")</f>
        <v/>
      </c>
    </row>
    <row r="56" spans="1:26" x14ac:dyDescent="0.15">
      <c r="A56" s="26" t="str">
        <f t="shared" si="2"/>
        <v/>
      </c>
      <c r="B56" s="14"/>
      <c r="C56" s="28" t="str">
        <f>IF(TRIM($B56)&lt;&gt;"",INDEX(Config!$B$13:$L$78,MATCH($B56,Config!$B$13:$B$78,0),2),"")</f>
        <v/>
      </c>
      <c r="D56" s="74"/>
      <c r="E56" s="14"/>
      <c r="F56" s="14"/>
      <c r="G56" s="14"/>
      <c r="H56" s="14"/>
      <c r="Z56" s="2" t="str">
        <f>IF(TRIM($B56)&lt;&gt;"",INDEX(Config!$B$13:$AZ$78,MATCH($B56,Config!$B$13:$B$78,0),26),"")</f>
        <v/>
      </c>
    </row>
    <row r="57" spans="1:26" x14ac:dyDescent="0.15">
      <c r="A57" s="26" t="str">
        <f t="shared" si="2"/>
        <v/>
      </c>
      <c r="B57" s="14"/>
      <c r="C57" s="28" t="str">
        <f>IF(TRIM($B57)&lt;&gt;"",INDEX(Config!$B$13:$L$78,MATCH($B57,Config!$B$13:$B$78,0),2),"")</f>
        <v/>
      </c>
      <c r="D57" s="74"/>
      <c r="E57" s="14"/>
      <c r="F57" s="14"/>
      <c r="G57" s="14"/>
      <c r="H57" s="14"/>
      <c r="Z57" s="2" t="str">
        <f>IF(TRIM($B57)&lt;&gt;"",INDEX(Config!$B$13:$AZ$78,MATCH($B57,Config!$B$13:$B$78,0),26),"")</f>
        <v/>
      </c>
    </row>
    <row r="58" spans="1:26" x14ac:dyDescent="0.15">
      <c r="A58" s="26" t="str">
        <f t="shared" si="2"/>
        <v/>
      </c>
      <c r="B58" s="14"/>
      <c r="C58" s="28" t="str">
        <f>IF(TRIM($B58)&lt;&gt;"",INDEX(Config!$B$13:$L$78,MATCH($B58,Config!$B$13:$B$78,0),2),"")</f>
        <v/>
      </c>
      <c r="D58" s="74"/>
      <c r="E58" s="14"/>
      <c r="F58" s="14"/>
      <c r="G58" s="14"/>
      <c r="H58" s="14"/>
      <c r="Z58" s="2" t="str">
        <f>IF(TRIM($B58)&lt;&gt;"",INDEX(Config!$B$13:$AZ$78,MATCH($B58,Config!$B$13:$B$78,0),26),"")</f>
        <v/>
      </c>
    </row>
    <row r="59" spans="1:26" x14ac:dyDescent="0.15">
      <c r="A59" s="26" t="str">
        <f t="shared" si="2"/>
        <v/>
      </c>
      <c r="B59" s="14"/>
      <c r="C59" s="28" t="str">
        <f>IF(TRIM($B59)&lt;&gt;"",INDEX(Config!$B$13:$L$78,MATCH($B59,Config!$B$13:$B$78,0),2),"")</f>
        <v/>
      </c>
      <c r="D59" s="74"/>
      <c r="E59" s="14"/>
      <c r="F59" s="14"/>
      <c r="G59" s="14"/>
      <c r="H59" s="14"/>
      <c r="Z59" s="2" t="str">
        <f>IF(TRIM($B59)&lt;&gt;"",INDEX(Config!$B$13:$AZ$78,MATCH($B59,Config!$B$13:$B$78,0),26),"")</f>
        <v/>
      </c>
    </row>
    <row r="60" spans="1:26" x14ac:dyDescent="0.15">
      <c r="A60" s="26" t="str">
        <f t="shared" si="2"/>
        <v/>
      </c>
      <c r="B60" s="14"/>
      <c r="C60" s="28" t="str">
        <f>IF(TRIM($B60)&lt;&gt;"",INDEX(Config!$B$13:$L$78,MATCH($B60,Config!$B$13:$B$78,0),2),"")</f>
        <v/>
      </c>
      <c r="D60" s="74"/>
      <c r="E60" s="14"/>
      <c r="F60" s="14"/>
      <c r="G60" s="14"/>
      <c r="H60" s="14"/>
      <c r="Z60" s="2" t="str">
        <f>IF(TRIM($B60)&lt;&gt;"",INDEX(Config!$B$13:$AZ$78,MATCH($B60,Config!$B$13:$B$78,0),26),"")</f>
        <v/>
      </c>
    </row>
    <row r="61" spans="1:26" x14ac:dyDescent="0.15">
      <c r="A61" s="26" t="str">
        <f t="shared" si="2"/>
        <v/>
      </c>
      <c r="B61" s="14"/>
      <c r="C61" s="28" t="str">
        <f>IF(TRIM($B61)&lt;&gt;"",INDEX(Config!$B$13:$L$78,MATCH($B61,Config!$B$13:$B$78,0),2),"")</f>
        <v/>
      </c>
      <c r="D61" s="74"/>
      <c r="E61" s="14"/>
      <c r="F61" s="14"/>
      <c r="G61" s="14"/>
      <c r="H61" s="14"/>
      <c r="Z61" s="2" t="str">
        <f>IF(TRIM($B61)&lt;&gt;"",INDEX(Config!$B$13:$AZ$78,MATCH($B61,Config!$B$13:$B$78,0),26),"")</f>
        <v/>
      </c>
    </row>
    <row r="62" spans="1:26" x14ac:dyDescent="0.15">
      <c r="A62" s="26" t="str">
        <f t="shared" si="2"/>
        <v/>
      </c>
      <c r="B62" s="14"/>
      <c r="C62" s="28" t="str">
        <f>IF(TRIM($B62)&lt;&gt;"",INDEX(Config!$B$13:$L$78,MATCH($B62,Config!$B$13:$B$78,0),2),"")</f>
        <v/>
      </c>
      <c r="D62" s="74"/>
      <c r="E62" s="14"/>
      <c r="F62" s="14"/>
      <c r="G62" s="14"/>
      <c r="H62" s="14"/>
      <c r="Z62" s="2" t="str">
        <f>IF(TRIM($B62)&lt;&gt;"",INDEX(Config!$B$13:$AZ$78,MATCH($B62,Config!$B$13:$B$78,0),26),"")</f>
        <v/>
      </c>
    </row>
    <row r="63" spans="1:26" x14ac:dyDescent="0.15">
      <c r="A63" s="26" t="str">
        <f t="shared" si="2"/>
        <v/>
      </c>
      <c r="B63" s="14"/>
      <c r="C63" s="28" t="str">
        <f>IF(TRIM($B63)&lt;&gt;"",INDEX(Config!$B$13:$L$78,MATCH($B63,Config!$B$13:$B$78,0),2),"")</f>
        <v/>
      </c>
      <c r="D63" s="74"/>
      <c r="E63" s="14"/>
      <c r="F63" s="14"/>
      <c r="G63" s="14"/>
      <c r="H63" s="14"/>
      <c r="Z63" s="2" t="str">
        <f>IF(TRIM($B63)&lt;&gt;"",INDEX(Config!$B$13:$AZ$78,MATCH($B63,Config!$B$13:$B$78,0),26),"")</f>
        <v/>
      </c>
    </row>
    <row r="64" spans="1:26" x14ac:dyDescent="0.15">
      <c r="A64" s="26" t="str">
        <f t="shared" si="2"/>
        <v/>
      </c>
      <c r="B64" s="14"/>
      <c r="C64" s="28" t="str">
        <f>IF(TRIM($B64)&lt;&gt;"",INDEX(Config!$B$13:$L$78,MATCH($B64,Config!$B$13:$B$78,0),2),"")</f>
        <v/>
      </c>
      <c r="D64" s="74"/>
      <c r="E64" s="14"/>
      <c r="F64" s="14"/>
      <c r="G64" s="14"/>
      <c r="H64" s="14"/>
      <c r="Z64" s="2" t="str">
        <f>IF(TRIM($B64)&lt;&gt;"",INDEX(Config!$B$13:$AZ$78,MATCH($B64,Config!$B$13:$B$78,0),26),"")</f>
        <v/>
      </c>
    </row>
    <row r="65" spans="1:53" x14ac:dyDescent="0.15">
      <c r="A65" s="26" t="str">
        <f t="shared" si="2"/>
        <v/>
      </c>
      <c r="B65" s="14"/>
      <c r="C65" s="28" t="str">
        <f>IF(TRIM($B65)&lt;&gt;"",INDEX(Config!$B$13:$L$78,MATCH($B65,Config!$B$13:$B$78,0),2),"")</f>
        <v/>
      </c>
      <c r="D65" s="74"/>
      <c r="E65" s="14"/>
      <c r="F65" s="14"/>
      <c r="G65" s="14"/>
      <c r="H65" s="14"/>
      <c r="Z65" s="2" t="str">
        <f>IF(TRIM($B65)&lt;&gt;"",INDEX(Config!$B$13:$AZ$78,MATCH($B65,Config!$B$13:$B$78,0),26),"")</f>
        <v/>
      </c>
    </row>
    <row r="66" spans="1:53" x14ac:dyDescent="0.15">
      <c r="A66" s="26" t="str">
        <f t="shared" si="2"/>
        <v/>
      </c>
      <c r="B66" s="14"/>
      <c r="C66" s="28" t="str">
        <f>IF(TRIM($B66)&lt;&gt;"",INDEX(Config!$B$13:$L$78,MATCH($B66,Config!$B$13:$B$78,0),2),"")</f>
        <v/>
      </c>
      <c r="D66" s="74"/>
      <c r="E66" s="14"/>
      <c r="F66" s="14"/>
      <c r="G66" s="14"/>
      <c r="H66" s="14"/>
      <c r="Z66" s="2" t="str">
        <f>IF(TRIM($B66)&lt;&gt;"",INDEX(Config!$B$13:$AZ$78,MATCH($B66,Config!$B$13:$B$78,0),26),"")</f>
        <v/>
      </c>
    </row>
    <row r="67" spans="1:53" x14ac:dyDescent="0.15">
      <c r="A67" s="26" t="str">
        <f t="shared" si="2"/>
        <v/>
      </c>
      <c r="B67" s="14"/>
      <c r="C67" s="28" t="str">
        <f>IF(TRIM($B67)&lt;&gt;"",INDEX(Config!$B$13:$L$78,MATCH($B67,Config!$B$13:$B$78,0),2),"")</f>
        <v/>
      </c>
      <c r="D67" s="74"/>
      <c r="E67" s="14"/>
      <c r="F67" s="14"/>
      <c r="G67" s="14"/>
      <c r="H67" s="14"/>
      <c r="Z67" s="2" t="str">
        <f>IF(TRIM($B67)&lt;&gt;"",INDEX(Config!$B$13:$AZ$78,MATCH($B67,Config!$B$13:$B$78,0),26),"")</f>
        <v/>
      </c>
    </row>
    <row r="68" spans="1:53" x14ac:dyDescent="0.15">
      <c r="A68" s="26" t="str">
        <f t="shared" si="2"/>
        <v/>
      </c>
      <c r="B68" s="14"/>
      <c r="C68" s="28" t="str">
        <f>IF(TRIM($B68)&lt;&gt;"",INDEX(Config!$B$13:$L$78,MATCH($B68,Config!$B$13:$B$78,0),2),"")</f>
        <v/>
      </c>
      <c r="D68" s="74"/>
      <c r="E68" s="14"/>
      <c r="F68" s="14"/>
      <c r="G68" s="14"/>
      <c r="H68" s="14"/>
      <c r="Z68" s="2" t="str">
        <f>IF(TRIM($B68)&lt;&gt;"",INDEX(Config!$B$13:$AZ$78,MATCH($B68,Config!$B$13:$B$78,0),26),"")</f>
        <v/>
      </c>
    </row>
    <row r="69" spans="1:53" x14ac:dyDescent="0.15">
      <c r="A69" s="26" t="str">
        <f t="shared" si="2"/>
        <v/>
      </c>
      <c r="B69" s="14"/>
      <c r="C69" s="28" t="str">
        <f>IF(TRIM($B69)&lt;&gt;"",INDEX(Config!$B$13:$L$78,MATCH($B69,Config!$B$13:$B$78,0),2),"")</f>
        <v/>
      </c>
      <c r="D69" s="74"/>
      <c r="E69" s="14"/>
      <c r="F69" s="14"/>
      <c r="G69" s="14"/>
      <c r="H69" s="14"/>
      <c r="Z69" s="2" t="str">
        <f>IF(TRIM($B69)&lt;&gt;"",INDEX(Config!$B$13:$AZ$78,MATCH($B69,Config!$B$13:$B$78,0),26),"")</f>
        <v/>
      </c>
    </row>
    <row r="70" spans="1:53" x14ac:dyDescent="0.15">
      <c r="A70" s="26" t="str">
        <f t="shared" si="2"/>
        <v/>
      </c>
      <c r="B70" s="14"/>
      <c r="C70" s="28" t="str">
        <f>IF(TRIM($B70)&lt;&gt;"",INDEX(Config!$B$13:$L$78,MATCH($B70,Config!$B$13:$B$78,0),2),"")</f>
        <v/>
      </c>
      <c r="D70" s="74"/>
      <c r="E70" s="14"/>
      <c r="F70" s="14"/>
      <c r="G70" s="14"/>
      <c r="H70" s="14"/>
      <c r="Z70" s="2" t="str">
        <f>IF(TRIM($B70)&lt;&gt;"",INDEX(Config!$B$13:$AZ$78,MATCH($B70,Config!$B$13:$B$78,0),26),"")</f>
        <v/>
      </c>
    </row>
    <row r="71" spans="1:53" x14ac:dyDescent="0.15">
      <c r="A71" s="26" t="str">
        <f t="shared" ref="A71:A102" si="3">IF(TRIM(B71)&lt;&gt;"","#"&amp;ROW()-1,"")</f>
        <v/>
      </c>
      <c r="B71" s="14"/>
      <c r="C71" s="28" t="str">
        <f>IF(TRIM($B71)&lt;&gt;"",INDEX(Config!$B$13:$L$78,MATCH($B71,Config!$B$13:$B$78,0),2),"")</f>
        <v/>
      </c>
      <c r="D71" s="74"/>
      <c r="E71" s="14"/>
      <c r="F71" s="14"/>
      <c r="G71" s="14"/>
      <c r="H71" s="14"/>
      <c r="Z71" s="2" t="str">
        <f>IF(TRIM($B71)&lt;&gt;"",INDEX(Config!$B$13:$AZ$78,MATCH($B71,Config!$B$13:$B$78,0),26),"")</f>
        <v/>
      </c>
    </row>
    <row r="72" spans="1:53" x14ac:dyDescent="0.15">
      <c r="A72" s="26" t="str">
        <f t="shared" si="3"/>
        <v/>
      </c>
      <c r="B72" s="14"/>
      <c r="C72" s="28" t="str">
        <f>IF(TRIM($B72)&lt;&gt;"",INDEX(Config!$B$13:$L$78,MATCH($B72,Config!$B$13:$B$78,0),2),"")</f>
        <v/>
      </c>
      <c r="D72" s="74"/>
      <c r="E72" s="14"/>
      <c r="F72" s="14"/>
      <c r="G72" s="14"/>
      <c r="H72" s="14"/>
      <c r="Z72" s="2" t="str">
        <f>IF(TRIM($B72)&lt;&gt;"",INDEX(Config!$B$13:$AZ$78,MATCH($B72,Config!$B$13:$B$78,0),26),"")</f>
        <v/>
      </c>
      <c r="BA72" s="2" t="str">
        <f t="shared" ref="BA72:BA135" si="4">IF($B72&lt;&gt;"",ROW()-1,"")</f>
        <v/>
      </c>
    </row>
    <row r="73" spans="1:53" x14ac:dyDescent="0.15">
      <c r="A73" s="26" t="str">
        <f t="shared" si="3"/>
        <v/>
      </c>
      <c r="B73" s="14"/>
      <c r="C73" s="28" t="str">
        <f>IF(TRIM($B73)&lt;&gt;"",INDEX(Config!$B$13:$L$78,MATCH($B73,Config!$B$13:$B$78,0),2),"")</f>
        <v/>
      </c>
      <c r="D73" s="74"/>
      <c r="E73" s="14"/>
      <c r="F73" s="14"/>
      <c r="G73" s="14"/>
      <c r="H73" s="14"/>
      <c r="Z73" s="2" t="str">
        <f>IF(TRIM($B73)&lt;&gt;"",INDEX(Config!$B$13:$AZ$78,MATCH($B73,Config!$B$13:$B$78,0),26),"")</f>
        <v/>
      </c>
      <c r="BA73" s="2" t="str">
        <f t="shared" si="4"/>
        <v/>
      </c>
    </row>
    <row r="74" spans="1:53" x14ac:dyDescent="0.15">
      <c r="A74" s="26" t="str">
        <f t="shared" si="3"/>
        <v/>
      </c>
      <c r="B74" s="14"/>
      <c r="C74" s="28" t="str">
        <f>IF(TRIM($B74)&lt;&gt;"",INDEX(Config!$B$13:$L$78,MATCH($B74,Config!$B$13:$B$78,0),2),"")</f>
        <v/>
      </c>
      <c r="D74" s="74"/>
      <c r="E74" s="14"/>
      <c r="F74" s="14"/>
      <c r="G74" s="14"/>
      <c r="H74" s="14"/>
      <c r="Z74" s="2" t="str">
        <f>IF(TRIM($B74)&lt;&gt;"",INDEX(Config!$B$13:$AZ$78,MATCH($B74,Config!$B$13:$B$78,0),26),"")</f>
        <v/>
      </c>
      <c r="BA74" s="2" t="str">
        <f t="shared" si="4"/>
        <v/>
      </c>
    </row>
    <row r="75" spans="1:53" x14ac:dyDescent="0.15">
      <c r="A75" s="26" t="str">
        <f t="shared" si="3"/>
        <v/>
      </c>
      <c r="B75" s="14"/>
      <c r="C75" s="28" t="str">
        <f>IF(TRIM($B75)&lt;&gt;"",INDEX(Config!$B$13:$L$78,MATCH($B75,Config!$B$13:$B$78,0),2),"")</f>
        <v/>
      </c>
      <c r="D75" s="74"/>
      <c r="E75" s="14"/>
      <c r="F75" s="14"/>
      <c r="G75" s="14"/>
      <c r="H75" s="14"/>
      <c r="Z75" s="2" t="str">
        <f>IF(TRIM($B75)&lt;&gt;"",INDEX(Config!$B$13:$AZ$78,MATCH($B75,Config!$B$13:$B$78,0),26),"")</f>
        <v/>
      </c>
      <c r="BA75" s="2" t="str">
        <f t="shared" si="4"/>
        <v/>
      </c>
    </row>
    <row r="76" spans="1:53" x14ac:dyDescent="0.15">
      <c r="A76" s="26" t="str">
        <f t="shared" si="3"/>
        <v/>
      </c>
      <c r="B76" s="14"/>
      <c r="C76" s="28" t="str">
        <f>IF(TRIM($B76)&lt;&gt;"",INDEX(Config!$B$13:$L$78,MATCH($B76,Config!$B$13:$B$78,0),2),"")</f>
        <v/>
      </c>
      <c r="D76" s="74"/>
      <c r="E76" s="14"/>
      <c r="F76" s="14"/>
      <c r="G76" s="14"/>
      <c r="H76" s="14"/>
      <c r="Z76" s="2" t="str">
        <f>IF(TRIM($B76)&lt;&gt;"",INDEX(Config!$B$13:$AZ$78,MATCH($B76,Config!$B$13:$B$78,0),26),"")</f>
        <v/>
      </c>
      <c r="BA76" s="2" t="str">
        <f t="shared" si="4"/>
        <v/>
      </c>
    </row>
    <row r="77" spans="1:53" x14ac:dyDescent="0.15">
      <c r="A77" s="26" t="str">
        <f t="shared" si="3"/>
        <v/>
      </c>
      <c r="B77" s="14"/>
      <c r="C77" s="28" t="str">
        <f>IF(TRIM($B77)&lt;&gt;"",INDEX(Config!$B$13:$L$78,MATCH($B77,Config!$B$13:$B$78,0),2),"")</f>
        <v/>
      </c>
      <c r="D77" s="74"/>
      <c r="E77" s="14"/>
      <c r="F77" s="14"/>
      <c r="G77" s="14"/>
      <c r="H77" s="14"/>
      <c r="Z77" s="2" t="str">
        <f>IF(TRIM($B77)&lt;&gt;"",INDEX(Config!$B$13:$AZ$78,MATCH($B77,Config!$B$13:$B$78,0),26),"")</f>
        <v/>
      </c>
      <c r="BA77" s="2" t="str">
        <f t="shared" si="4"/>
        <v/>
      </c>
    </row>
    <row r="78" spans="1:53" x14ac:dyDescent="0.15">
      <c r="A78" s="26" t="str">
        <f t="shared" si="3"/>
        <v/>
      </c>
      <c r="B78" s="14"/>
      <c r="C78" s="28" t="str">
        <f>IF(TRIM($B78)&lt;&gt;"",INDEX(Config!$B$13:$L$78,MATCH($B78,Config!$B$13:$B$78,0),2),"")</f>
        <v/>
      </c>
      <c r="D78" s="74"/>
      <c r="E78" s="14"/>
      <c r="F78" s="14"/>
      <c r="G78" s="14"/>
      <c r="H78" s="14"/>
      <c r="Z78" s="2" t="str">
        <f>IF(TRIM($B78)&lt;&gt;"",INDEX(Config!$B$13:$AZ$78,MATCH($B78,Config!$B$13:$B$78,0),26),"")</f>
        <v/>
      </c>
      <c r="BA78" s="2" t="str">
        <f t="shared" si="4"/>
        <v/>
      </c>
    </row>
    <row r="79" spans="1:53" x14ac:dyDescent="0.15">
      <c r="A79" s="26" t="str">
        <f t="shared" si="3"/>
        <v/>
      </c>
      <c r="B79" s="14"/>
      <c r="C79" s="28" t="str">
        <f>IF(TRIM($B79)&lt;&gt;"",INDEX(Config!$B$13:$L$78,MATCH($B79,Config!$B$13:$B$78,0),2),"")</f>
        <v/>
      </c>
      <c r="D79" s="74"/>
      <c r="E79" s="14"/>
      <c r="F79" s="14"/>
      <c r="G79" s="14"/>
      <c r="H79" s="14"/>
      <c r="Z79" s="2" t="str">
        <f>IF(TRIM($B79)&lt;&gt;"",INDEX(Config!$B$13:$AZ$78,MATCH($B79,Config!$B$13:$B$78,0),26),"")</f>
        <v/>
      </c>
      <c r="BA79" s="2" t="str">
        <f t="shared" si="4"/>
        <v/>
      </c>
    </row>
    <row r="80" spans="1:53" x14ac:dyDescent="0.15">
      <c r="A80" s="26" t="str">
        <f t="shared" si="3"/>
        <v/>
      </c>
      <c r="B80" s="14"/>
      <c r="C80" s="28" t="str">
        <f>IF(TRIM($B80)&lt;&gt;"",INDEX(Config!$B$13:$L$78,MATCH($B80,Config!$B$13:$B$78,0),2),"")</f>
        <v/>
      </c>
      <c r="D80" s="74"/>
      <c r="E80" s="14"/>
      <c r="F80" s="14"/>
      <c r="G80" s="14"/>
      <c r="H80" s="14"/>
      <c r="Z80" s="2" t="str">
        <f>IF(TRIM($B80)&lt;&gt;"",INDEX(Config!$B$13:$AZ$78,MATCH($B80,Config!$B$13:$B$78,0),26),"")</f>
        <v/>
      </c>
      <c r="BA80" s="2" t="str">
        <f t="shared" si="4"/>
        <v/>
      </c>
    </row>
    <row r="81" spans="1:53" x14ac:dyDescent="0.15">
      <c r="A81" s="26" t="str">
        <f t="shared" si="3"/>
        <v/>
      </c>
      <c r="B81" s="14"/>
      <c r="C81" s="28" t="str">
        <f>IF(TRIM($B81)&lt;&gt;"",INDEX(Config!$B$13:$L$78,MATCH($B81,Config!$B$13:$B$78,0),2),"")</f>
        <v/>
      </c>
      <c r="D81" s="74"/>
      <c r="E81" s="14"/>
      <c r="F81" s="14"/>
      <c r="G81" s="14"/>
      <c r="H81" s="14"/>
      <c r="Z81" s="2" t="str">
        <f>IF(TRIM($B81)&lt;&gt;"",INDEX(Config!$B$13:$AZ$78,MATCH($B81,Config!$B$13:$B$78,0),26),"")</f>
        <v/>
      </c>
      <c r="BA81" s="2" t="str">
        <f t="shared" si="4"/>
        <v/>
      </c>
    </row>
    <row r="82" spans="1:53" x14ac:dyDescent="0.15">
      <c r="A82" s="26" t="str">
        <f t="shared" si="3"/>
        <v/>
      </c>
      <c r="B82" s="14"/>
      <c r="C82" s="28" t="str">
        <f>IF(TRIM($B82)&lt;&gt;"",INDEX(Config!$B$13:$L$78,MATCH($B82,Config!$B$13:$B$78,0),2),"")</f>
        <v/>
      </c>
      <c r="D82" s="74"/>
      <c r="E82" s="14"/>
      <c r="F82" s="14"/>
      <c r="G82" s="14"/>
      <c r="H82" s="14"/>
      <c r="Z82" s="2" t="str">
        <f>IF(TRIM($B82)&lt;&gt;"",INDEX(Config!$B$13:$AZ$78,MATCH($B82,Config!$B$13:$B$78,0),26),"")</f>
        <v/>
      </c>
      <c r="BA82" s="2" t="str">
        <f t="shared" si="4"/>
        <v/>
      </c>
    </row>
    <row r="83" spans="1:53" x14ac:dyDescent="0.15">
      <c r="A83" s="26" t="str">
        <f t="shared" si="3"/>
        <v/>
      </c>
      <c r="B83" s="14"/>
      <c r="C83" s="28" t="str">
        <f>IF(TRIM($B83)&lt;&gt;"",INDEX(Config!$B$13:$L$78,MATCH($B83,Config!$B$13:$B$78,0),2),"")</f>
        <v/>
      </c>
      <c r="D83" s="74"/>
      <c r="E83" s="14"/>
      <c r="F83" s="14"/>
      <c r="G83" s="14"/>
      <c r="H83" s="14"/>
      <c r="Z83" s="2" t="str">
        <f>IF(TRIM($B83)&lt;&gt;"",INDEX(Config!$B$13:$AZ$78,MATCH($B83,Config!$B$13:$B$78,0),26),"")</f>
        <v/>
      </c>
      <c r="BA83" s="2" t="str">
        <f t="shared" si="4"/>
        <v/>
      </c>
    </row>
    <row r="84" spans="1:53" x14ac:dyDescent="0.15">
      <c r="A84" s="26" t="str">
        <f t="shared" si="3"/>
        <v/>
      </c>
      <c r="B84" s="14"/>
      <c r="C84" s="28" t="str">
        <f>IF(TRIM($B84)&lt;&gt;"",INDEX(Config!$B$13:$L$78,MATCH($B84,Config!$B$13:$B$78,0),2),"")</f>
        <v/>
      </c>
      <c r="D84" s="74"/>
      <c r="E84" s="14"/>
      <c r="F84" s="14"/>
      <c r="G84" s="14"/>
      <c r="H84" s="14"/>
      <c r="Z84" s="2" t="str">
        <f>IF(TRIM($B84)&lt;&gt;"",INDEX(Config!$B$13:$AZ$78,MATCH($B84,Config!$B$13:$B$78,0),26),"")</f>
        <v/>
      </c>
      <c r="BA84" s="2" t="str">
        <f t="shared" si="4"/>
        <v/>
      </c>
    </row>
    <row r="85" spans="1:53" x14ac:dyDescent="0.15">
      <c r="A85" s="26" t="str">
        <f t="shared" si="3"/>
        <v/>
      </c>
      <c r="B85" s="14"/>
      <c r="C85" s="28" t="str">
        <f>IF(TRIM($B85)&lt;&gt;"",INDEX(Config!$B$13:$L$78,MATCH($B85,Config!$B$13:$B$78,0),2),"")</f>
        <v/>
      </c>
      <c r="D85" s="74"/>
      <c r="E85" s="14"/>
      <c r="F85" s="14"/>
      <c r="G85" s="14"/>
      <c r="H85" s="14"/>
      <c r="Z85" s="2" t="str">
        <f>IF(TRIM($B85)&lt;&gt;"",INDEX(Config!$B$13:$AZ$78,MATCH($B85,Config!$B$13:$B$78,0),26),"")</f>
        <v/>
      </c>
      <c r="BA85" s="2" t="str">
        <f t="shared" si="4"/>
        <v/>
      </c>
    </row>
    <row r="86" spans="1:53" x14ac:dyDescent="0.15">
      <c r="A86" s="26" t="str">
        <f t="shared" si="3"/>
        <v/>
      </c>
      <c r="B86" s="14"/>
      <c r="C86" s="28" t="str">
        <f>IF(TRIM($B86)&lt;&gt;"",INDEX(Config!$B$13:$L$78,MATCH($B86,Config!$B$13:$B$78,0),2),"")</f>
        <v/>
      </c>
      <c r="D86" s="74"/>
      <c r="E86" s="14"/>
      <c r="F86" s="14"/>
      <c r="G86" s="14"/>
      <c r="H86" s="14"/>
      <c r="Z86" s="2" t="str">
        <f>IF(TRIM($B86)&lt;&gt;"",INDEX(Config!$B$13:$AZ$78,MATCH($B86,Config!$B$13:$B$78,0),26),"")</f>
        <v/>
      </c>
      <c r="BA86" s="2" t="str">
        <f t="shared" si="4"/>
        <v/>
      </c>
    </row>
    <row r="87" spans="1:53" x14ac:dyDescent="0.15">
      <c r="A87" s="26" t="str">
        <f t="shared" si="3"/>
        <v/>
      </c>
      <c r="B87" s="14"/>
      <c r="C87" s="28" t="str">
        <f>IF(TRIM($B87)&lt;&gt;"",INDEX(Config!$B$13:$L$78,MATCH($B87,Config!$B$13:$B$78,0),2),"")</f>
        <v/>
      </c>
      <c r="D87" s="74"/>
      <c r="E87" s="14"/>
      <c r="F87" s="14"/>
      <c r="G87" s="14"/>
      <c r="H87" s="14"/>
      <c r="Z87" s="2" t="str">
        <f>IF(TRIM($B87)&lt;&gt;"",INDEX(Config!$B$13:$AZ$78,MATCH($B87,Config!$B$13:$B$78,0),26),"")</f>
        <v/>
      </c>
      <c r="BA87" s="2" t="str">
        <f t="shared" si="4"/>
        <v/>
      </c>
    </row>
    <row r="88" spans="1:53" x14ac:dyDescent="0.15">
      <c r="A88" s="26" t="str">
        <f t="shared" si="3"/>
        <v/>
      </c>
      <c r="B88" s="14"/>
      <c r="C88" s="28" t="str">
        <f>IF(TRIM($B88)&lt;&gt;"",INDEX(Config!$B$13:$L$78,MATCH($B88,Config!$B$13:$B$78,0),2),"")</f>
        <v/>
      </c>
      <c r="D88" s="74"/>
      <c r="E88" s="14"/>
      <c r="F88" s="14"/>
      <c r="G88" s="14"/>
      <c r="H88" s="14"/>
      <c r="Z88" s="2" t="str">
        <f>IF(TRIM($B88)&lt;&gt;"",INDEX(Config!$B$13:$AZ$78,MATCH($B88,Config!$B$13:$B$78,0),26),"")</f>
        <v/>
      </c>
      <c r="BA88" s="2" t="str">
        <f t="shared" si="4"/>
        <v/>
      </c>
    </row>
    <row r="89" spans="1:53" x14ac:dyDescent="0.15">
      <c r="A89" s="26" t="str">
        <f t="shared" si="3"/>
        <v/>
      </c>
      <c r="B89" s="14"/>
      <c r="C89" s="28" t="str">
        <f>IF(TRIM($B89)&lt;&gt;"",INDEX(Config!$B$13:$L$78,MATCH($B89,Config!$B$13:$B$78,0),2),"")</f>
        <v/>
      </c>
      <c r="D89" s="74"/>
      <c r="E89" s="14"/>
      <c r="F89" s="14"/>
      <c r="G89" s="14"/>
      <c r="H89" s="14"/>
      <c r="Z89" s="2" t="str">
        <f>IF(TRIM($B89)&lt;&gt;"",INDEX(Config!$B$13:$AZ$78,MATCH($B89,Config!$B$13:$B$78,0),26),"")</f>
        <v/>
      </c>
      <c r="BA89" s="2" t="str">
        <f t="shared" si="4"/>
        <v/>
      </c>
    </row>
    <row r="90" spans="1:53" x14ac:dyDescent="0.15">
      <c r="A90" s="26" t="str">
        <f t="shared" si="3"/>
        <v/>
      </c>
      <c r="B90" s="14"/>
      <c r="C90" s="28" t="str">
        <f>IF(TRIM($B90)&lt;&gt;"",INDEX(Config!$B$13:$L$78,MATCH($B90,Config!$B$13:$B$78,0),2),"")</f>
        <v/>
      </c>
      <c r="D90" s="74"/>
      <c r="E90" s="14"/>
      <c r="F90" s="14"/>
      <c r="G90" s="14"/>
      <c r="H90" s="14"/>
      <c r="Z90" s="2" t="str">
        <f>IF(TRIM($B90)&lt;&gt;"",INDEX(Config!$B$13:$AZ$78,MATCH($B90,Config!$B$13:$B$78,0),26),"")</f>
        <v/>
      </c>
      <c r="BA90" s="2" t="str">
        <f t="shared" si="4"/>
        <v/>
      </c>
    </row>
    <row r="91" spans="1:53" x14ac:dyDescent="0.15">
      <c r="A91" s="26" t="str">
        <f t="shared" si="3"/>
        <v/>
      </c>
      <c r="B91" s="14"/>
      <c r="C91" s="28" t="str">
        <f>IF(TRIM($B91)&lt;&gt;"",INDEX(Config!$B$13:$L$78,MATCH($B91,Config!$B$13:$B$78,0),2),"")</f>
        <v/>
      </c>
      <c r="D91" s="74"/>
      <c r="E91" s="14"/>
      <c r="F91" s="14"/>
      <c r="G91" s="14"/>
      <c r="H91" s="14"/>
      <c r="Z91" s="2" t="str">
        <f>IF(TRIM($B91)&lt;&gt;"",INDEX(Config!$B$13:$AZ$78,MATCH($B91,Config!$B$13:$B$78,0),26),"")</f>
        <v/>
      </c>
      <c r="BA91" s="2" t="str">
        <f t="shared" si="4"/>
        <v/>
      </c>
    </row>
    <row r="92" spans="1:53" x14ac:dyDescent="0.15">
      <c r="A92" s="26" t="str">
        <f t="shared" si="3"/>
        <v/>
      </c>
      <c r="B92" s="14"/>
      <c r="C92" s="28" t="str">
        <f>IF(TRIM($B92)&lt;&gt;"",INDEX(Config!$B$13:$L$78,MATCH($B92,Config!$B$13:$B$78,0),2),"")</f>
        <v/>
      </c>
      <c r="D92" s="74"/>
      <c r="E92" s="14"/>
      <c r="F92" s="14"/>
      <c r="G92" s="14"/>
      <c r="H92" s="14"/>
      <c r="Z92" s="2" t="str">
        <f>IF(TRIM($B92)&lt;&gt;"",INDEX(Config!$B$13:$AZ$78,MATCH($B92,Config!$B$13:$B$78,0),26),"")</f>
        <v/>
      </c>
      <c r="BA92" s="2" t="str">
        <f t="shared" si="4"/>
        <v/>
      </c>
    </row>
    <row r="93" spans="1:53" x14ac:dyDescent="0.15">
      <c r="A93" s="26" t="str">
        <f t="shared" si="3"/>
        <v/>
      </c>
      <c r="B93" s="14"/>
      <c r="C93" s="28" t="str">
        <f>IF(TRIM($B93)&lt;&gt;"",INDEX(Config!$B$13:$L$78,MATCH($B93,Config!$B$13:$B$78,0),2),"")</f>
        <v/>
      </c>
      <c r="D93" s="74"/>
      <c r="E93" s="14"/>
      <c r="F93" s="14"/>
      <c r="G93" s="14"/>
      <c r="H93" s="14"/>
      <c r="Z93" s="2" t="str">
        <f>IF(TRIM($B93)&lt;&gt;"",INDEX(Config!$B$13:$AZ$78,MATCH($B93,Config!$B$13:$B$78,0),26),"")</f>
        <v/>
      </c>
      <c r="BA93" s="2" t="str">
        <f t="shared" si="4"/>
        <v/>
      </c>
    </row>
    <row r="94" spans="1:53" x14ac:dyDescent="0.15">
      <c r="A94" s="26" t="str">
        <f t="shared" si="3"/>
        <v/>
      </c>
      <c r="B94" s="14"/>
      <c r="C94" s="28" t="str">
        <f>IF(TRIM($B94)&lt;&gt;"",INDEX(Config!$B$13:$L$78,MATCH($B94,Config!$B$13:$B$78,0),2),"")</f>
        <v/>
      </c>
      <c r="D94" s="74"/>
      <c r="E94" s="14"/>
      <c r="F94" s="14"/>
      <c r="G94" s="14"/>
      <c r="H94" s="14"/>
      <c r="Z94" s="2" t="str">
        <f>IF(TRIM($B94)&lt;&gt;"",INDEX(Config!$B$13:$AZ$78,MATCH($B94,Config!$B$13:$B$78,0),26),"")</f>
        <v/>
      </c>
      <c r="BA94" s="2" t="str">
        <f t="shared" si="4"/>
        <v/>
      </c>
    </row>
    <row r="95" spans="1:53" x14ac:dyDescent="0.15">
      <c r="A95" s="26" t="str">
        <f t="shared" si="3"/>
        <v/>
      </c>
      <c r="B95" s="14"/>
      <c r="C95" s="28" t="str">
        <f>IF(TRIM($B95)&lt;&gt;"",INDEX(Config!$B$13:$L$78,MATCH($B95,Config!$B$13:$B$78,0),2),"")</f>
        <v/>
      </c>
      <c r="D95" s="74"/>
      <c r="E95" s="14"/>
      <c r="F95" s="14"/>
      <c r="G95" s="14"/>
      <c r="H95" s="14"/>
      <c r="Z95" s="2" t="str">
        <f>IF(TRIM($B95)&lt;&gt;"",INDEX(Config!$B$13:$AZ$78,MATCH($B95,Config!$B$13:$B$78,0),26),"")</f>
        <v/>
      </c>
      <c r="BA95" s="2" t="str">
        <f t="shared" si="4"/>
        <v/>
      </c>
    </row>
    <row r="96" spans="1:53" x14ac:dyDescent="0.15">
      <c r="A96" s="26" t="str">
        <f t="shared" si="3"/>
        <v/>
      </c>
      <c r="B96" s="14"/>
      <c r="C96" s="28" t="str">
        <f>IF(TRIM($B96)&lt;&gt;"",INDEX(Config!$B$13:$L$78,MATCH($B96,Config!$B$13:$B$78,0),2),"")</f>
        <v/>
      </c>
      <c r="D96" s="74"/>
      <c r="E96" s="14"/>
      <c r="F96" s="14"/>
      <c r="G96" s="14"/>
      <c r="H96" s="14"/>
      <c r="Z96" s="2" t="str">
        <f>IF(TRIM($B96)&lt;&gt;"",INDEX(Config!$B$13:$AZ$78,MATCH($B96,Config!$B$13:$B$78,0),26),"")</f>
        <v/>
      </c>
      <c r="BA96" s="2" t="str">
        <f t="shared" si="4"/>
        <v/>
      </c>
    </row>
    <row r="97" spans="1:53" x14ac:dyDescent="0.15">
      <c r="A97" s="26" t="str">
        <f t="shared" si="3"/>
        <v/>
      </c>
      <c r="B97" s="14"/>
      <c r="C97" s="28" t="str">
        <f>IF(TRIM($B97)&lt;&gt;"",INDEX(Config!$B$13:$L$78,MATCH($B97,Config!$B$13:$B$78,0),2),"")</f>
        <v/>
      </c>
      <c r="D97" s="74"/>
      <c r="E97" s="14"/>
      <c r="F97" s="14"/>
      <c r="G97" s="14"/>
      <c r="H97" s="14"/>
      <c r="Z97" s="2" t="str">
        <f>IF(TRIM($B97)&lt;&gt;"",INDEX(Config!$B$13:$AZ$78,MATCH($B97,Config!$B$13:$B$78,0),26),"")</f>
        <v/>
      </c>
      <c r="BA97" s="2" t="str">
        <f t="shared" si="4"/>
        <v/>
      </c>
    </row>
    <row r="98" spans="1:53" x14ac:dyDescent="0.15">
      <c r="A98" s="26" t="str">
        <f t="shared" si="3"/>
        <v/>
      </c>
      <c r="B98" s="14"/>
      <c r="C98" s="28" t="str">
        <f>IF(TRIM($B98)&lt;&gt;"",INDEX(Config!$B$13:$L$78,MATCH($B98,Config!$B$13:$B$78,0),2),"")</f>
        <v/>
      </c>
      <c r="D98" s="74"/>
      <c r="E98" s="14"/>
      <c r="F98" s="14"/>
      <c r="G98" s="14"/>
      <c r="H98" s="14"/>
      <c r="Z98" s="2" t="str">
        <f>IF(TRIM($B98)&lt;&gt;"",INDEX(Config!$B$13:$AZ$78,MATCH($B98,Config!$B$13:$B$78,0),26),"")</f>
        <v/>
      </c>
      <c r="BA98" s="2" t="str">
        <f t="shared" si="4"/>
        <v/>
      </c>
    </row>
    <row r="99" spans="1:53" x14ac:dyDescent="0.15">
      <c r="A99" s="26" t="str">
        <f t="shared" si="3"/>
        <v/>
      </c>
      <c r="B99" s="14"/>
      <c r="C99" s="28" t="str">
        <f>IF(TRIM($B99)&lt;&gt;"",INDEX(Config!$B$13:$L$78,MATCH($B99,Config!$B$13:$B$78,0),2),"")</f>
        <v/>
      </c>
      <c r="D99" s="74"/>
      <c r="E99" s="14"/>
      <c r="F99" s="14"/>
      <c r="G99" s="14"/>
      <c r="H99" s="14"/>
      <c r="Z99" s="2" t="str">
        <f>IF(TRIM($B99)&lt;&gt;"",INDEX(Config!$B$13:$AZ$78,MATCH($B99,Config!$B$13:$B$78,0),26),"")</f>
        <v/>
      </c>
      <c r="BA99" s="2" t="str">
        <f t="shared" si="4"/>
        <v/>
      </c>
    </row>
    <row r="100" spans="1:53" x14ac:dyDescent="0.15">
      <c r="A100" s="26" t="str">
        <f t="shared" si="3"/>
        <v/>
      </c>
      <c r="B100" s="14"/>
      <c r="C100" s="28" t="str">
        <f>IF(TRIM($B100)&lt;&gt;"",INDEX(Config!$B$13:$L$78,MATCH($B100,Config!$B$13:$B$78,0),2),"")</f>
        <v/>
      </c>
      <c r="D100" s="74"/>
      <c r="E100" s="14"/>
      <c r="F100" s="14"/>
      <c r="G100" s="14"/>
      <c r="H100" s="14"/>
      <c r="Z100" s="2" t="str">
        <f>IF(TRIM($B100)&lt;&gt;"",INDEX(Config!$B$13:$AZ$78,MATCH($B100,Config!$B$13:$B$78,0),26),"")</f>
        <v/>
      </c>
      <c r="BA100" s="2" t="str">
        <f t="shared" si="4"/>
        <v/>
      </c>
    </row>
    <row r="101" spans="1:53" x14ac:dyDescent="0.15">
      <c r="A101" s="26" t="str">
        <f t="shared" si="3"/>
        <v/>
      </c>
      <c r="B101" s="14"/>
      <c r="C101" s="28" t="str">
        <f>IF(TRIM($B101)&lt;&gt;"",INDEX(Config!$B$13:$L$78,MATCH($B101,Config!$B$13:$B$78,0),2),"")</f>
        <v/>
      </c>
      <c r="D101" s="74"/>
      <c r="E101" s="14"/>
      <c r="F101" s="14"/>
      <c r="G101" s="14"/>
      <c r="H101" s="14"/>
      <c r="Z101" s="2" t="str">
        <f>IF(TRIM($B101)&lt;&gt;"",INDEX(Config!$B$13:$AZ$78,MATCH($B101,Config!$B$13:$B$78,0),26),"")</f>
        <v/>
      </c>
      <c r="BA101" s="2" t="str">
        <f t="shared" si="4"/>
        <v/>
      </c>
    </row>
    <row r="102" spans="1:53" x14ac:dyDescent="0.15">
      <c r="A102" s="26" t="str">
        <f t="shared" si="3"/>
        <v/>
      </c>
      <c r="B102" s="14"/>
      <c r="C102" s="28" t="str">
        <f>IF(TRIM($B102)&lt;&gt;"",INDEX(Config!$B$13:$L$78,MATCH($B102,Config!$B$13:$B$78,0),2),"")</f>
        <v/>
      </c>
      <c r="D102" s="74"/>
      <c r="E102" s="14"/>
      <c r="F102" s="14"/>
      <c r="G102" s="14"/>
      <c r="H102" s="14"/>
      <c r="Z102" s="2" t="str">
        <f>IF(TRIM($B102)&lt;&gt;"",INDEX(Config!$B$13:$AZ$78,MATCH($B102,Config!$B$13:$B$78,0),26),"")</f>
        <v/>
      </c>
      <c r="BA102" s="2" t="str">
        <f t="shared" si="4"/>
        <v/>
      </c>
    </row>
    <row r="103" spans="1:53" x14ac:dyDescent="0.15">
      <c r="A103" s="26" t="str">
        <f t="shared" ref="A103:A134" si="5">IF(TRIM(B103)&lt;&gt;"","#"&amp;ROW()-1,"")</f>
        <v/>
      </c>
      <c r="B103" s="14"/>
      <c r="C103" s="28" t="str">
        <f>IF(TRIM($B103)&lt;&gt;"",INDEX(Config!$B$13:$L$78,MATCH($B103,Config!$B$13:$B$78,0),2),"")</f>
        <v/>
      </c>
      <c r="D103" s="74"/>
      <c r="E103" s="14"/>
      <c r="F103" s="14"/>
      <c r="G103" s="14"/>
      <c r="H103" s="14"/>
      <c r="Z103" s="2" t="str">
        <f>IF(TRIM($B103)&lt;&gt;"",INDEX(Config!$B$13:$AZ$78,MATCH($B103,Config!$B$13:$B$78,0),26),"")</f>
        <v/>
      </c>
      <c r="BA103" s="2" t="str">
        <f t="shared" si="4"/>
        <v/>
      </c>
    </row>
    <row r="104" spans="1:53" x14ac:dyDescent="0.15">
      <c r="A104" s="26" t="str">
        <f t="shared" si="5"/>
        <v/>
      </c>
      <c r="B104" s="14"/>
      <c r="C104" s="28" t="str">
        <f>IF(TRIM($B104)&lt;&gt;"",INDEX(Config!$B$13:$L$78,MATCH($B104,Config!$B$13:$B$78,0),2),"")</f>
        <v/>
      </c>
      <c r="D104" s="74"/>
      <c r="E104" s="14"/>
      <c r="F104" s="14"/>
      <c r="G104" s="14"/>
      <c r="H104" s="14"/>
      <c r="Z104" s="2" t="str">
        <f>IF(TRIM($B104)&lt;&gt;"",INDEX(Config!$B$13:$AZ$78,MATCH($B104,Config!$B$13:$B$78,0),26),"")</f>
        <v/>
      </c>
      <c r="BA104" s="2" t="str">
        <f t="shared" si="4"/>
        <v/>
      </c>
    </row>
    <row r="105" spans="1:53" x14ac:dyDescent="0.15">
      <c r="A105" s="26" t="str">
        <f t="shared" si="5"/>
        <v/>
      </c>
      <c r="B105" s="14"/>
      <c r="C105" s="28" t="str">
        <f>IF(TRIM($B105)&lt;&gt;"",INDEX(Config!$B$13:$L$78,MATCH($B105,Config!$B$13:$B$78,0),2),"")</f>
        <v/>
      </c>
      <c r="D105" s="74"/>
      <c r="E105" s="14"/>
      <c r="F105" s="14"/>
      <c r="G105" s="14"/>
      <c r="H105" s="14"/>
      <c r="Z105" s="2" t="str">
        <f>IF(TRIM($B105)&lt;&gt;"",INDEX(Config!$B$13:$AZ$78,MATCH($B105,Config!$B$13:$B$78,0),26),"")</f>
        <v/>
      </c>
      <c r="BA105" s="2" t="str">
        <f t="shared" si="4"/>
        <v/>
      </c>
    </row>
    <row r="106" spans="1:53" x14ac:dyDescent="0.15">
      <c r="A106" s="26" t="str">
        <f t="shared" si="5"/>
        <v/>
      </c>
      <c r="B106" s="14"/>
      <c r="C106" s="28" t="str">
        <f>IF(TRIM($B106)&lt;&gt;"",INDEX(Config!$B$13:$L$78,MATCH($B106,Config!$B$13:$B$78,0),2),"")</f>
        <v/>
      </c>
      <c r="D106" s="74"/>
      <c r="E106" s="14"/>
      <c r="F106" s="14"/>
      <c r="G106" s="14"/>
      <c r="H106" s="14"/>
      <c r="Z106" s="2" t="str">
        <f>IF(TRIM($B106)&lt;&gt;"",INDEX(Config!$B$13:$AZ$78,MATCH($B106,Config!$B$13:$B$78,0),26),"")</f>
        <v/>
      </c>
      <c r="BA106" s="2" t="str">
        <f t="shared" si="4"/>
        <v/>
      </c>
    </row>
    <row r="107" spans="1:53" x14ac:dyDescent="0.15">
      <c r="A107" s="26" t="str">
        <f t="shared" si="5"/>
        <v/>
      </c>
      <c r="B107" s="14"/>
      <c r="C107" s="28" t="str">
        <f>IF(TRIM($B107)&lt;&gt;"",INDEX(Config!$B$13:$L$78,MATCH($B107,Config!$B$13:$B$78,0),2),"")</f>
        <v/>
      </c>
      <c r="D107" s="74"/>
      <c r="E107" s="14"/>
      <c r="F107" s="14"/>
      <c r="G107" s="14"/>
      <c r="H107" s="14"/>
      <c r="Z107" s="2" t="str">
        <f>IF(TRIM($B107)&lt;&gt;"",INDEX(Config!$B$13:$AZ$78,MATCH($B107,Config!$B$13:$B$78,0),26),"")</f>
        <v/>
      </c>
      <c r="BA107" s="2" t="str">
        <f t="shared" si="4"/>
        <v/>
      </c>
    </row>
    <row r="108" spans="1:53" x14ac:dyDescent="0.15">
      <c r="A108" s="26" t="str">
        <f t="shared" si="5"/>
        <v/>
      </c>
      <c r="B108" s="14"/>
      <c r="C108" s="28" t="str">
        <f>IF(TRIM($B108)&lt;&gt;"",INDEX(Config!$B$13:$L$78,MATCH($B108,Config!$B$13:$B$78,0),2),"")</f>
        <v/>
      </c>
      <c r="D108" s="74"/>
      <c r="E108" s="14"/>
      <c r="F108" s="14"/>
      <c r="G108" s="14"/>
      <c r="H108" s="14"/>
      <c r="Z108" s="2" t="str">
        <f>IF(TRIM($B108)&lt;&gt;"",INDEX(Config!$B$13:$AZ$78,MATCH($B108,Config!$B$13:$B$78,0),26),"")</f>
        <v/>
      </c>
      <c r="BA108" s="2" t="str">
        <f t="shared" si="4"/>
        <v/>
      </c>
    </row>
    <row r="109" spans="1:53" x14ac:dyDescent="0.15">
      <c r="A109" s="26" t="str">
        <f t="shared" si="5"/>
        <v/>
      </c>
      <c r="B109" s="14"/>
      <c r="C109" s="28" t="str">
        <f>IF(TRIM($B109)&lt;&gt;"",INDEX(Config!$B$13:$L$78,MATCH($B109,Config!$B$13:$B$78,0),2),"")</f>
        <v/>
      </c>
      <c r="D109" s="74"/>
      <c r="E109" s="14"/>
      <c r="F109" s="14"/>
      <c r="G109" s="14"/>
      <c r="H109" s="14"/>
      <c r="Z109" s="2" t="str">
        <f>IF(TRIM($B109)&lt;&gt;"",INDEX(Config!$B$13:$AZ$78,MATCH($B109,Config!$B$13:$B$78,0),26),"")</f>
        <v/>
      </c>
      <c r="BA109" s="2" t="str">
        <f t="shared" si="4"/>
        <v/>
      </c>
    </row>
    <row r="110" spans="1:53" x14ac:dyDescent="0.15">
      <c r="A110" s="26" t="str">
        <f t="shared" si="5"/>
        <v/>
      </c>
      <c r="B110" s="14"/>
      <c r="C110" s="28" t="str">
        <f>IF(TRIM($B110)&lt;&gt;"",INDEX(Config!$B$13:$L$78,MATCH($B110,Config!$B$13:$B$78,0),2),"")</f>
        <v/>
      </c>
      <c r="D110" s="74"/>
      <c r="E110" s="14"/>
      <c r="F110" s="14"/>
      <c r="G110" s="14"/>
      <c r="H110" s="14"/>
      <c r="Z110" s="2" t="str">
        <f>IF(TRIM($B110)&lt;&gt;"",INDEX(Config!$B$13:$AZ$78,MATCH($B110,Config!$B$13:$B$78,0),26),"")</f>
        <v/>
      </c>
      <c r="BA110" s="2" t="str">
        <f t="shared" si="4"/>
        <v/>
      </c>
    </row>
    <row r="111" spans="1:53" x14ac:dyDescent="0.15">
      <c r="A111" s="26" t="str">
        <f t="shared" si="5"/>
        <v/>
      </c>
      <c r="B111" s="14"/>
      <c r="C111" s="28" t="str">
        <f>IF(TRIM($B111)&lt;&gt;"",INDEX(Config!$B$13:$L$78,MATCH($B111,Config!$B$13:$B$78,0),2),"")</f>
        <v/>
      </c>
      <c r="D111" s="74"/>
      <c r="E111" s="14"/>
      <c r="F111" s="14"/>
      <c r="G111" s="14"/>
      <c r="H111" s="14"/>
      <c r="Z111" s="2" t="str">
        <f>IF(TRIM($B111)&lt;&gt;"",INDEX(Config!$B$13:$AZ$78,MATCH($B111,Config!$B$13:$B$78,0),26),"")</f>
        <v/>
      </c>
      <c r="BA111" s="2" t="str">
        <f t="shared" si="4"/>
        <v/>
      </c>
    </row>
    <row r="112" spans="1:53" x14ac:dyDescent="0.15">
      <c r="A112" s="26" t="str">
        <f t="shared" si="5"/>
        <v/>
      </c>
      <c r="B112" s="14"/>
      <c r="C112" s="28" t="str">
        <f>IF(TRIM($B112)&lt;&gt;"",INDEX(Config!$B$13:$L$78,MATCH($B112,Config!$B$13:$B$78,0),2),"")</f>
        <v/>
      </c>
      <c r="D112" s="74"/>
      <c r="E112" s="14"/>
      <c r="F112" s="14"/>
      <c r="G112" s="14"/>
      <c r="H112" s="14"/>
      <c r="Z112" s="2" t="str">
        <f>IF(TRIM($B112)&lt;&gt;"",INDEX(Config!$B$13:$AZ$78,MATCH($B112,Config!$B$13:$B$78,0),26),"")</f>
        <v/>
      </c>
      <c r="BA112" s="2" t="str">
        <f t="shared" si="4"/>
        <v/>
      </c>
    </row>
    <row r="113" spans="1:53" x14ac:dyDescent="0.15">
      <c r="A113" s="26" t="str">
        <f t="shared" si="5"/>
        <v/>
      </c>
      <c r="B113" s="14"/>
      <c r="C113" s="28" t="str">
        <f>IF(TRIM($B113)&lt;&gt;"",INDEX(Config!$B$13:$L$78,MATCH($B113,Config!$B$13:$B$78,0),2),"")</f>
        <v/>
      </c>
      <c r="D113" s="74"/>
      <c r="E113" s="14"/>
      <c r="F113" s="14"/>
      <c r="G113" s="14"/>
      <c r="H113" s="14"/>
      <c r="Z113" s="2" t="str">
        <f>IF(TRIM($B113)&lt;&gt;"",INDEX(Config!$B$13:$AZ$78,MATCH($B113,Config!$B$13:$B$78,0),26),"")</f>
        <v/>
      </c>
      <c r="BA113" s="2" t="str">
        <f t="shared" si="4"/>
        <v/>
      </c>
    </row>
    <row r="114" spans="1:53" x14ac:dyDescent="0.15">
      <c r="A114" s="26" t="str">
        <f t="shared" si="5"/>
        <v/>
      </c>
      <c r="B114" s="14"/>
      <c r="C114" s="28" t="str">
        <f>IF(TRIM($B114)&lt;&gt;"",INDEX(Config!$B$13:$L$78,MATCH($B114,Config!$B$13:$B$78,0),2),"")</f>
        <v/>
      </c>
      <c r="D114" s="74"/>
      <c r="E114" s="14"/>
      <c r="F114" s="14"/>
      <c r="G114" s="14"/>
      <c r="H114" s="14"/>
      <c r="Z114" s="2" t="str">
        <f>IF(TRIM($B114)&lt;&gt;"",INDEX(Config!$B$13:$AZ$78,MATCH($B114,Config!$B$13:$B$78,0),26),"")</f>
        <v/>
      </c>
      <c r="BA114" s="2" t="str">
        <f t="shared" si="4"/>
        <v/>
      </c>
    </row>
    <row r="115" spans="1:53" x14ac:dyDescent="0.15">
      <c r="A115" s="26" t="str">
        <f t="shared" si="5"/>
        <v/>
      </c>
      <c r="B115" s="14"/>
      <c r="C115" s="28" t="str">
        <f>IF(TRIM($B115)&lt;&gt;"",INDEX(Config!$B$13:$L$78,MATCH($B115,Config!$B$13:$B$78,0),2),"")</f>
        <v/>
      </c>
      <c r="D115" s="74"/>
      <c r="E115" s="14"/>
      <c r="F115" s="14"/>
      <c r="G115" s="14"/>
      <c r="H115" s="14"/>
      <c r="Z115" s="2" t="str">
        <f>IF(TRIM($B115)&lt;&gt;"",INDEX(Config!$B$13:$AZ$78,MATCH($B115,Config!$B$13:$B$78,0),26),"")</f>
        <v/>
      </c>
      <c r="BA115" s="2" t="str">
        <f t="shared" si="4"/>
        <v/>
      </c>
    </row>
    <row r="116" spans="1:53" x14ac:dyDescent="0.15">
      <c r="A116" s="26" t="str">
        <f t="shared" si="5"/>
        <v/>
      </c>
      <c r="B116" s="14"/>
      <c r="C116" s="28" t="str">
        <f>IF(TRIM($B116)&lt;&gt;"",INDEX(Config!$B$13:$L$78,MATCH($B116,Config!$B$13:$B$78,0),2),"")</f>
        <v/>
      </c>
      <c r="D116" s="74"/>
      <c r="E116" s="14"/>
      <c r="F116" s="14"/>
      <c r="G116" s="14"/>
      <c r="H116" s="14"/>
      <c r="Z116" s="2" t="str">
        <f>IF(TRIM($B116)&lt;&gt;"",INDEX(Config!$B$13:$AZ$78,MATCH($B116,Config!$B$13:$B$78,0),26),"")</f>
        <v/>
      </c>
      <c r="BA116" s="2" t="str">
        <f t="shared" si="4"/>
        <v/>
      </c>
    </row>
    <row r="117" spans="1:53" x14ac:dyDescent="0.15">
      <c r="A117" s="26" t="str">
        <f t="shared" si="5"/>
        <v/>
      </c>
      <c r="B117" s="14"/>
      <c r="C117" s="28" t="str">
        <f>IF(TRIM($B117)&lt;&gt;"",INDEX(Config!$B$13:$L$78,MATCH($B117,Config!$B$13:$B$78,0),2),"")</f>
        <v/>
      </c>
      <c r="D117" s="74"/>
      <c r="E117" s="14"/>
      <c r="F117" s="14"/>
      <c r="G117" s="14"/>
      <c r="H117" s="14"/>
      <c r="Z117" s="2" t="str">
        <f>IF(TRIM($B117)&lt;&gt;"",INDEX(Config!$B$13:$AZ$78,MATCH($B117,Config!$B$13:$B$78,0),26),"")</f>
        <v/>
      </c>
      <c r="BA117" s="2" t="str">
        <f t="shared" si="4"/>
        <v/>
      </c>
    </row>
    <row r="118" spans="1:53" x14ac:dyDescent="0.15">
      <c r="A118" s="26" t="str">
        <f t="shared" si="5"/>
        <v/>
      </c>
      <c r="B118" s="14"/>
      <c r="C118" s="28" t="str">
        <f>IF(TRIM($B118)&lt;&gt;"",INDEX(Config!$B$13:$L$78,MATCH($B118,Config!$B$13:$B$78,0),2),"")</f>
        <v/>
      </c>
      <c r="D118" s="74"/>
      <c r="E118" s="14"/>
      <c r="F118" s="14"/>
      <c r="G118" s="14"/>
      <c r="H118" s="14"/>
      <c r="Z118" s="2" t="str">
        <f>IF(TRIM($B118)&lt;&gt;"",INDEX(Config!$B$13:$AZ$78,MATCH($B118,Config!$B$13:$B$78,0),26),"")</f>
        <v/>
      </c>
      <c r="BA118" s="2" t="str">
        <f t="shared" si="4"/>
        <v/>
      </c>
    </row>
    <row r="119" spans="1:53" x14ac:dyDescent="0.15">
      <c r="A119" s="26" t="str">
        <f t="shared" si="5"/>
        <v/>
      </c>
      <c r="B119" s="14"/>
      <c r="C119" s="28" t="str">
        <f>IF(TRIM($B119)&lt;&gt;"",INDEX(Config!$B$13:$L$78,MATCH($B119,Config!$B$13:$B$78,0),2),"")</f>
        <v/>
      </c>
      <c r="D119" s="74"/>
      <c r="E119" s="14"/>
      <c r="F119" s="14"/>
      <c r="G119" s="14"/>
      <c r="H119" s="14"/>
      <c r="Z119" s="2" t="str">
        <f>IF(TRIM($B119)&lt;&gt;"",INDEX(Config!$B$13:$AZ$78,MATCH($B119,Config!$B$13:$B$78,0),26),"")</f>
        <v/>
      </c>
      <c r="BA119" s="2" t="str">
        <f t="shared" si="4"/>
        <v/>
      </c>
    </row>
    <row r="120" spans="1:53" x14ac:dyDescent="0.15">
      <c r="A120" s="26" t="str">
        <f t="shared" si="5"/>
        <v/>
      </c>
      <c r="B120" s="14"/>
      <c r="C120" s="28" t="str">
        <f>IF(TRIM($B120)&lt;&gt;"",INDEX(Config!$B$13:$L$78,MATCH($B120,Config!$B$13:$B$78,0),2),"")</f>
        <v/>
      </c>
      <c r="D120" s="74"/>
      <c r="E120" s="14"/>
      <c r="F120" s="14"/>
      <c r="G120" s="14"/>
      <c r="H120" s="14"/>
      <c r="Z120" s="2" t="str">
        <f>IF(TRIM($B120)&lt;&gt;"",INDEX(Config!$B$13:$AZ$78,MATCH($B120,Config!$B$13:$B$78,0),26),"")</f>
        <v/>
      </c>
      <c r="BA120" s="2" t="str">
        <f t="shared" si="4"/>
        <v/>
      </c>
    </row>
    <row r="121" spans="1:53" x14ac:dyDescent="0.15">
      <c r="A121" s="26" t="str">
        <f t="shared" si="5"/>
        <v/>
      </c>
      <c r="B121" s="14"/>
      <c r="C121" s="28" t="str">
        <f>IF(TRIM($B121)&lt;&gt;"",INDEX(Config!$B$13:$L$78,MATCH($B121,Config!$B$13:$B$78,0),2),"")</f>
        <v/>
      </c>
      <c r="D121" s="74"/>
      <c r="E121" s="14"/>
      <c r="F121" s="14"/>
      <c r="G121" s="14"/>
      <c r="H121" s="14"/>
      <c r="Z121" s="2" t="str">
        <f>IF(TRIM($B121)&lt;&gt;"",INDEX(Config!$B$13:$AZ$78,MATCH($B121,Config!$B$13:$B$78,0),26),"")</f>
        <v/>
      </c>
      <c r="BA121" s="2" t="str">
        <f t="shared" si="4"/>
        <v/>
      </c>
    </row>
    <row r="122" spans="1:53" x14ac:dyDescent="0.15">
      <c r="A122" s="26" t="str">
        <f t="shared" si="5"/>
        <v/>
      </c>
      <c r="B122" s="14"/>
      <c r="C122" s="28" t="str">
        <f>IF(TRIM($B122)&lt;&gt;"",INDEX(Config!$B$13:$L$78,MATCH($B122,Config!$B$13:$B$78,0),2),"")</f>
        <v/>
      </c>
      <c r="D122" s="74"/>
      <c r="E122" s="14"/>
      <c r="F122" s="14"/>
      <c r="G122" s="14"/>
      <c r="H122" s="14"/>
      <c r="Z122" s="2" t="str">
        <f>IF(TRIM($B122)&lt;&gt;"",INDEX(Config!$B$13:$AZ$78,MATCH($B122,Config!$B$13:$B$78,0),26),"")</f>
        <v/>
      </c>
      <c r="BA122" s="2" t="str">
        <f t="shared" si="4"/>
        <v/>
      </c>
    </row>
    <row r="123" spans="1:53" x14ac:dyDescent="0.15">
      <c r="A123" s="26" t="str">
        <f t="shared" si="5"/>
        <v/>
      </c>
      <c r="B123" s="14"/>
      <c r="C123" s="28" t="str">
        <f>IF(TRIM($B123)&lt;&gt;"",INDEX(Config!$B$13:$L$78,MATCH($B123,Config!$B$13:$B$78,0),2),"")</f>
        <v/>
      </c>
      <c r="D123" s="74"/>
      <c r="E123" s="14"/>
      <c r="F123" s="14"/>
      <c r="G123" s="14"/>
      <c r="H123" s="14"/>
      <c r="Z123" s="2" t="str">
        <f>IF(TRIM($B123)&lt;&gt;"",INDEX(Config!$B$13:$AZ$78,MATCH($B123,Config!$B$13:$B$78,0),26),"")</f>
        <v/>
      </c>
      <c r="BA123" s="2" t="str">
        <f t="shared" si="4"/>
        <v/>
      </c>
    </row>
    <row r="124" spans="1:53" x14ac:dyDescent="0.15">
      <c r="A124" s="26" t="str">
        <f t="shared" si="5"/>
        <v/>
      </c>
      <c r="B124" s="14"/>
      <c r="C124" s="28" t="str">
        <f>IF(TRIM($B124)&lt;&gt;"",INDEX(Config!$B$13:$L$78,MATCH($B124,Config!$B$13:$B$78,0),2),"")</f>
        <v/>
      </c>
      <c r="D124" s="74"/>
      <c r="E124" s="14"/>
      <c r="F124" s="14"/>
      <c r="G124" s="14"/>
      <c r="H124" s="14"/>
      <c r="Z124" s="2" t="str">
        <f>IF(TRIM($B124)&lt;&gt;"",INDEX(Config!$B$13:$AZ$78,MATCH($B124,Config!$B$13:$B$78,0),26),"")</f>
        <v/>
      </c>
      <c r="BA124" s="2" t="str">
        <f t="shared" si="4"/>
        <v/>
      </c>
    </row>
    <row r="125" spans="1:53" x14ac:dyDescent="0.15">
      <c r="A125" s="26" t="str">
        <f t="shared" si="5"/>
        <v/>
      </c>
      <c r="B125" s="14"/>
      <c r="C125" s="28" t="str">
        <f>IF(TRIM($B125)&lt;&gt;"",INDEX(Config!$B$13:$L$78,MATCH($B125,Config!$B$13:$B$78,0),2),"")</f>
        <v/>
      </c>
      <c r="D125" s="74"/>
      <c r="E125" s="14"/>
      <c r="F125" s="14"/>
      <c r="G125" s="14"/>
      <c r="H125" s="14"/>
      <c r="Z125" s="2" t="str">
        <f>IF(TRIM($B125)&lt;&gt;"",INDEX(Config!$B$13:$AZ$78,MATCH($B125,Config!$B$13:$B$78,0),26),"")</f>
        <v/>
      </c>
      <c r="BA125" s="2" t="str">
        <f t="shared" si="4"/>
        <v/>
      </c>
    </row>
    <row r="126" spans="1:53" x14ac:dyDescent="0.15">
      <c r="A126" s="26" t="str">
        <f t="shared" si="5"/>
        <v/>
      </c>
      <c r="B126" s="14"/>
      <c r="C126" s="28" t="str">
        <f>IF(TRIM($B126)&lt;&gt;"",INDEX(Config!$B$13:$L$78,MATCH($B126,Config!$B$13:$B$78,0),2),"")</f>
        <v/>
      </c>
      <c r="D126" s="74"/>
      <c r="E126" s="14"/>
      <c r="F126" s="14"/>
      <c r="G126" s="14"/>
      <c r="H126" s="14"/>
      <c r="Z126" s="2" t="str">
        <f>IF(TRIM($B126)&lt;&gt;"",INDEX(Config!$B$13:$AZ$78,MATCH($B126,Config!$B$13:$B$78,0),26),"")</f>
        <v/>
      </c>
      <c r="BA126" s="2" t="str">
        <f t="shared" si="4"/>
        <v/>
      </c>
    </row>
    <row r="127" spans="1:53" x14ac:dyDescent="0.15">
      <c r="A127" s="26" t="str">
        <f t="shared" si="5"/>
        <v/>
      </c>
      <c r="B127" s="14"/>
      <c r="C127" s="28" t="str">
        <f>IF(TRIM($B127)&lt;&gt;"",INDEX(Config!$B$13:$L$78,MATCH($B127,Config!$B$13:$B$78,0),2),"")</f>
        <v/>
      </c>
      <c r="D127" s="74"/>
      <c r="E127" s="14"/>
      <c r="F127" s="14"/>
      <c r="G127" s="14"/>
      <c r="H127" s="14"/>
      <c r="Z127" s="2" t="str">
        <f>IF(TRIM($B127)&lt;&gt;"",INDEX(Config!$B$13:$AZ$78,MATCH($B127,Config!$B$13:$B$78,0),26),"")</f>
        <v/>
      </c>
      <c r="BA127" s="2" t="str">
        <f t="shared" si="4"/>
        <v/>
      </c>
    </row>
    <row r="128" spans="1:53" x14ac:dyDescent="0.15">
      <c r="A128" s="26" t="str">
        <f t="shared" si="5"/>
        <v/>
      </c>
      <c r="B128" s="14"/>
      <c r="C128" s="28" t="str">
        <f>IF(TRIM($B128)&lt;&gt;"",INDEX(Config!$B$13:$L$78,MATCH($B128,Config!$B$13:$B$78,0),2),"")</f>
        <v/>
      </c>
      <c r="D128" s="74"/>
      <c r="E128" s="14"/>
      <c r="F128" s="14"/>
      <c r="G128" s="14"/>
      <c r="H128" s="14"/>
      <c r="Z128" s="2" t="str">
        <f>IF(TRIM($B128)&lt;&gt;"",INDEX(Config!$B$13:$AZ$78,MATCH($B128,Config!$B$13:$B$78,0),26),"")</f>
        <v/>
      </c>
      <c r="BA128" s="2" t="str">
        <f t="shared" si="4"/>
        <v/>
      </c>
    </row>
    <row r="129" spans="1:53" x14ac:dyDescent="0.15">
      <c r="A129" s="26" t="str">
        <f t="shared" si="5"/>
        <v/>
      </c>
      <c r="B129" s="14"/>
      <c r="C129" s="28" t="str">
        <f>IF(TRIM($B129)&lt;&gt;"",INDEX(Config!$B$13:$L$78,MATCH($B129,Config!$B$13:$B$78,0),2),"")</f>
        <v/>
      </c>
      <c r="D129" s="74"/>
      <c r="E129" s="14"/>
      <c r="F129" s="14"/>
      <c r="G129" s="14"/>
      <c r="H129" s="14"/>
      <c r="Z129" s="2" t="str">
        <f>IF(TRIM($B129)&lt;&gt;"",INDEX(Config!$B$13:$AZ$78,MATCH($B129,Config!$B$13:$B$78,0),26),"")</f>
        <v/>
      </c>
      <c r="BA129" s="2" t="str">
        <f t="shared" si="4"/>
        <v/>
      </c>
    </row>
    <row r="130" spans="1:53" x14ac:dyDescent="0.15">
      <c r="A130" s="26" t="str">
        <f t="shared" si="5"/>
        <v/>
      </c>
      <c r="B130" s="14"/>
      <c r="C130" s="28" t="str">
        <f>IF(TRIM($B130)&lt;&gt;"",INDEX(Config!$B$13:$L$78,MATCH($B130,Config!$B$13:$B$78,0),2),"")</f>
        <v/>
      </c>
      <c r="D130" s="74"/>
      <c r="E130" s="14"/>
      <c r="F130" s="14"/>
      <c r="G130" s="14"/>
      <c r="H130" s="14"/>
      <c r="Z130" s="2" t="str">
        <f>IF(TRIM($B130)&lt;&gt;"",INDEX(Config!$B$13:$AZ$78,MATCH($B130,Config!$B$13:$B$78,0),26),"")</f>
        <v/>
      </c>
      <c r="BA130" s="2" t="str">
        <f t="shared" si="4"/>
        <v/>
      </c>
    </row>
    <row r="131" spans="1:53" x14ac:dyDescent="0.15">
      <c r="A131" s="26" t="str">
        <f t="shared" si="5"/>
        <v/>
      </c>
      <c r="B131" s="14"/>
      <c r="C131" s="28" t="str">
        <f>IF(TRIM($B131)&lt;&gt;"",INDEX(Config!$B$13:$L$78,MATCH($B131,Config!$B$13:$B$78,0),2),"")</f>
        <v/>
      </c>
      <c r="D131" s="74"/>
      <c r="E131" s="14"/>
      <c r="F131" s="14"/>
      <c r="G131" s="14"/>
      <c r="H131" s="14"/>
      <c r="Z131" s="2" t="str">
        <f>IF(TRIM($B131)&lt;&gt;"",INDEX(Config!$B$13:$AZ$78,MATCH($B131,Config!$B$13:$B$78,0),26),"")</f>
        <v/>
      </c>
      <c r="BA131" s="2" t="str">
        <f t="shared" si="4"/>
        <v/>
      </c>
    </row>
    <row r="132" spans="1:53" x14ac:dyDescent="0.15">
      <c r="A132" s="26" t="str">
        <f t="shared" si="5"/>
        <v/>
      </c>
      <c r="B132" s="14"/>
      <c r="C132" s="28" t="str">
        <f>IF(TRIM($B132)&lt;&gt;"",INDEX(Config!$B$13:$L$78,MATCH($B132,Config!$B$13:$B$78,0),2),"")</f>
        <v/>
      </c>
      <c r="D132" s="74"/>
      <c r="E132" s="14"/>
      <c r="F132" s="14"/>
      <c r="G132" s="14"/>
      <c r="H132" s="14"/>
      <c r="Z132" s="2" t="str">
        <f>IF(TRIM($B132)&lt;&gt;"",INDEX(Config!$B$13:$AZ$78,MATCH($B132,Config!$B$13:$B$78,0),26),"")</f>
        <v/>
      </c>
      <c r="BA132" s="2" t="str">
        <f t="shared" si="4"/>
        <v/>
      </c>
    </row>
    <row r="133" spans="1:53" x14ac:dyDescent="0.15">
      <c r="A133" s="26" t="str">
        <f t="shared" si="5"/>
        <v/>
      </c>
      <c r="B133" s="14"/>
      <c r="C133" s="28" t="str">
        <f>IF(TRIM($B133)&lt;&gt;"",INDEX(Config!$B$13:$L$78,MATCH($B133,Config!$B$13:$B$78,0),2),"")</f>
        <v/>
      </c>
      <c r="D133" s="74"/>
      <c r="E133" s="14"/>
      <c r="F133" s="14"/>
      <c r="G133" s="14"/>
      <c r="H133" s="14"/>
      <c r="Z133" s="2" t="str">
        <f>IF(TRIM($B133)&lt;&gt;"",INDEX(Config!$B$13:$AZ$78,MATCH($B133,Config!$B$13:$B$78,0),26),"")</f>
        <v/>
      </c>
      <c r="BA133" s="2" t="str">
        <f t="shared" si="4"/>
        <v/>
      </c>
    </row>
    <row r="134" spans="1:53" x14ac:dyDescent="0.15">
      <c r="A134" s="26" t="str">
        <f t="shared" si="5"/>
        <v/>
      </c>
      <c r="B134" s="14"/>
      <c r="C134" s="28" t="str">
        <f>IF(TRIM($B134)&lt;&gt;"",INDEX(Config!$B$13:$L$78,MATCH($B134,Config!$B$13:$B$78,0),2),"")</f>
        <v/>
      </c>
      <c r="D134" s="74"/>
      <c r="E134" s="14"/>
      <c r="F134" s="14"/>
      <c r="G134" s="14"/>
      <c r="H134" s="14"/>
      <c r="Z134" s="2" t="str">
        <f>IF(TRIM($B134)&lt;&gt;"",INDEX(Config!$B$13:$AZ$78,MATCH($B134,Config!$B$13:$B$78,0),26),"")</f>
        <v/>
      </c>
      <c r="BA134" s="2" t="str">
        <f t="shared" si="4"/>
        <v/>
      </c>
    </row>
    <row r="135" spans="1:53" x14ac:dyDescent="0.15">
      <c r="A135" s="26" t="str">
        <f t="shared" ref="A135:A136" si="6">IF(TRIM(B135)&lt;&gt;"","#"&amp;ROW()-1,"")</f>
        <v/>
      </c>
      <c r="B135" s="14"/>
      <c r="C135" s="28" t="str">
        <f>IF(TRIM($B135)&lt;&gt;"",INDEX(Config!$B$13:$L$78,MATCH($B135,Config!$B$13:$B$78,0),2),"")</f>
        <v/>
      </c>
      <c r="D135" s="74"/>
      <c r="E135" s="14"/>
      <c r="F135" s="14"/>
      <c r="G135" s="14"/>
      <c r="H135" s="14"/>
      <c r="Z135" s="2" t="str">
        <f>IF(TRIM($B135)&lt;&gt;"",INDEX(Config!$B$13:$AZ$78,MATCH($B135,Config!$B$13:$B$78,0),26),"")</f>
        <v/>
      </c>
      <c r="BA135" s="2" t="str">
        <f t="shared" si="4"/>
        <v/>
      </c>
    </row>
    <row r="136" spans="1:53" x14ac:dyDescent="0.15">
      <c r="A136" s="26" t="str">
        <f t="shared" si="6"/>
        <v/>
      </c>
      <c r="B136" s="14"/>
      <c r="C136" s="28" t="str">
        <f>IF(TRIM($B136)&lt;&gt;"",INDEX(Config!$B$13:$L$78,MATCH($B136,Config!$B$13:$B$78,0),2),"")</f>
        <v/>
      </c>
      <c r="D136" s="74"/>
      <c r="E136" s="14"/>
      <c r="F136" s="14"/>
      <c r="G136" s="14"/>
      <c r="H136" s="14"/>
      <c r="Z136" s="2" t="str">
        <f>IF(TRIM($B136)&lt;&gt;"",INDEX(Config!$B$13:$AZ$78,MATCH($B136,Config!$B$13:$B$78,0),26),"")</f>
        <v/>
      </c>
      <c r="BA136" s="2" t="str">
        <f t="shared" ref="BA136:BA199" si="7">IF($B136&lt;&gt;"",ROW()-1,"")</f>
        <v/>
      </c>
    </row>
    <row r="137" spans="1:53" x14ac:dyDescent="0.15">
      <c r="A137" s="26" t="str">
        <f t="shared" ref="A137:A199" si="8">IF(B137&lt;&gt;"","#"&amp;ROW()-1,"")</f>
        <v/>
      </c>
      <c r="B137" s="14"/>
      <c r="C137" s="28" t="str">
        <f>IF(TRIM($B137)&lt;&gt;"",INDEX(Config!$B$13:$L$76,MATCH($B137,Config!$B$13:$B$76,0),2),"")</f>
        <v/>
      </c>
      <c r="D137" s="74"/>
      <c r="E137" s="14"/>
      <c r="F137" s="14"/>
      <c r="G137" s="14"/>
      <c r="H137" s="14"/>
      <c r="Z137" s="2" t="str">
        <f>IF($B137&lt;&gt;"",INDEX(Config!$B$13:$AZ$76,MATCH($B137,Config!$B$13:$B$76,0),26),"")</f>
        <v/>
      </c>
      <c r="BA137" s="2" t="str">
        <f t="shared" si="7"/>
        <v/>
      </c>
    </row>
    <row r="138" spans="1:53" x14ac:dyDescent="0.15">
      <c r="A138" s="26" t="str">
        <f t="shared" si="8"/>
        <v/>
      </c>
      <c r="B138" s="14"/>
      <c r="C138" s="28" t="str">
        <f>IF(TRIM($B138)&lt;&gt;"",INDEX(Config!$B$13:$L$76,MATCH($B138,Config!$B$13:$B$76,0),2),"")</f>
        <v/>
      </c>
      <c r="D138" s="74"/>
      <c r="E138" s="14"/>
      <c r="F138" s="14"/>
      <c r="G138" s="14"/>
      <c r="H138" s="14"/>
      <c r="Z138" s="2" t="str">
        <f>IF($B138&lt;&gt;"",INDEX(Config!$B$13:$AZ$76,MATCH($B138,Config!$B$13:$B$76,0),26),"")</f>
        <v/>
      </c>
      <c r="BA138" s="2" t="str">
        <f t="shared" si="7"/>
        <v/>
      </c>
    </row>
    <row r="139" spans="1:53" x14ac:dyDescent="0.15">
      <c r="A139" s="26" t="str">
        <f t="shared" si="8"/>
        <v/>
      </c>
      <c r="B139" s="14"/>
      <c r="C139" s="28" t="str">
        <f>IF(TRIM($B139)&lt;&gt;"",INDEX(Config!$B$13:$L$76,MATCH($B139,Config!$B$13:$B$76,0),2),"")</f>
        <v/>
      </c>
      <c r="D139" s="74"/>
      <c r="E139" s="14"/>
      <c r="F139" s="14"/>
      <c r="G139" s="14"/>
      <c r="H139" s="14"/>
      <c r="Z139" s="2" t="str">
        <f>IF($B139&lt;&gt;"",INDEX(Config!$B$13:$AZ$76,MATCH($B139,Config!$B$13:$B$76,0),26),"")</f>
        <v/>
      </c>
      <c r="BA139" s="2" t="str">
        <f t="shared" si="7"/>
        <v/>
      </c>
    </row>
    <row r="140" spans="1:53" x14ac:dyDescent="0.15">
      <c r="A140" s="26" t="str">
        <f t="shared" si="8"/>
        <v/>
      </c>
      <c r="B140" s="14"/>
      <c r="C140" s="28" t="str">
        <f>IF(TRIM($B140)&lt;&gt;"",INDEX(Config!$B$13:$L$76,MATCH($B140,Config!$B$13:$B$76,0),2),"")</f>
        <v/>
      </c>
      <c r="D140" s="74"/>
      <c r="E140" s="14"/>
      <c r="F140" s="14"/>
      <c r="G140" s="14"/>
      <c r="H140" s="14"/>
      <c r="Z140" s="2" t="str">
        <f>IF($B140&lt;&gt;"",INDEX(Config!$B$13:$AZ$76,MATCH($B140,Config!$B$13:$B$76,0),26),"")</f>
        <v/>
      </c>
      <c r="BA140" s="2" t="str">
        <f t="shared" si="7"/>
        <v/>
      </c>
    </row>
    <row r="141" spans="1:53" x14ac:dyDescent="0.15">
      <c r="A141" s="26" t="str">
        <f t="shared" si="8"/>
        <v/>
      </c>
      <c r="B141" s="14"/>
      <c r="C141" s="28" t="str">
        <f>IF(TRIM($B141)&lt;&gt;"",INDEX(Config!$B$13:$L$76,MATCH($B141,Config!$B$13:$B$76,0),2),"")</f>
        <v/>
      </c>
      <c r="D141" s="74"/>
      <c r="E141" s="14"/>
      <c r="F141" s="14"/>
      <c r="G141" s="14"/>
      <c r="H141" s="14"/>
      <c r="Z141" s="2" t="str">
        <f>IF($B141&lt;&gt;"",INDEX(Config!$B$13:$AZ$76,MATCH($B141,Config!$B$13:$B$76,0),26),"")</f>
        <v/>
      </c>
      <c r="BA141" s="2" t="str">
        <f t="shared" si="7"/>
        <v/>
      </c>
    </row>
    <row r="142" spans="1:53" x14ac:dyDescent="0.15">
      <c r="A142" s="26" t="str">
        <f t="shared" si="8"/>
        <v/>
      </c>
      <c r="B142" s="14"/>
      <c r="C142" s="28" t="str">
        <f>IF(TRIM($B142)&lt;&gt;"",INDEX(Config!$B$13:$L$76,MATCH($B142,Config!$B$13:$B$76,0),2),"")</f>
        <v/>
      </c>
      <c r="D142" s="74"/>
      <c r="E142" s="14"/>
      <c r="F142" s="14"/>
      <c r="G142" s="14"/>
      <c r="H142" s="14"/>
      <c r="Z142" s="2" t="str">
        <f>IF($B142&lt;&gt;"",INDEX(Config!$B$13:$AZ$76,MATCH($B142,Config!$B$13:$B$76,0),26),"")</f>
        <v/>
      </c>
      <c r="BA142" s="2" t="str">
        <f t="shared" si="7"/>
        <v/>
      </c>
    </row>
    <row r="143" spans="1:53" x14ac:dyDescent="0.15">
      <c r="A143" s="26" t="str">
        <f t="shared" si="8"/>
        <v/>
      </c>
      <c r="B143" s="14"/>
      <c r="C143" s="28" t="str">
        <f>IF(TRIM($B143)&lt;&gt;"",INDEX(Config!$B$13:$L$76,MATCH($B143,Config!$B$13:$B$76,0),2),"")</f>
        <v/>
      </c>
      <c r="D143" s="74"/>
      <c r="E143" s="14"/>
      <c r="F143" s="14"/>
      <c r="G143" s="14"/>
      <c r="H143" s="14"/>
      <c r="Z143" s="2" t="str">
        <f>IF($B143&lt;&gt;"",INDEX(Config!$B$13:$AZ$76,MATCH($B143,Config!$B$13:$B$76,0),26),"")</f>
        <v/>
      </c>
      <c r="BA143" s="2" t="str">
        <f t="shared" si="7"/>
        <v/>
      </c>
    </row>
    <row r="144" spans="1:53" x14ac:dyDescent="0.15">
      <c r="A144" s="26" t="str">
        <f t="shared" si="8"/>
        <v/>
      </c>
      <c r="B144" s="14"/>
      <c r="C144" s="28" t="str">
        <f>IF(TRIM($B144)&lt;&gt;"",INDEX(Config!$B$13:$L$76,MATCH($B144,Config!$B$13:$B$76,0),2),"")</f>
        <v/>
      </c>
      <c r="D144" s="74"/>
      <c r="E144" s="14"/>
      <c r="F144" s="14"/>
      <c r="G144" s="14"/>
      <c r="H144" s="14"/>
      <c r="Z144" s="2" t="str">
        <f>IF($B144&lt;&gt;"",INDEX(Config!$B$13:$AZ$76,MATCH($B144,Config!$B$13:$B$76,0),26),"")</f>
        <v/>
      </c>
      <c r="BA144" s="2" t="str">
        <f t="shared" si="7"/>
        <v/>
      </c>
    </row>
    <row r="145" spans="1:53" x14ac:dyDescent="0.15">
      <c r="A145" s="26" t="str">
        <f t="shared" si="8"/>
        <v/>
      </c>
      <c r="B145" s="14"/>
      <c r="C145" s="28" t="str">
        <f>IF(TRIM($B145)&lt;&gt;"",INDEX(Config!$B$13:$L$76,MATCH($B145,Config!$B$13:$B$76,0),2),"")</f>
        <v/>
      </c>
      <c r="D145" s="74"/>
      <c r="E145" s="14"/>
      <c r="F145" s="14"/>
      <c r="G145" s="14"/>
      <c r="H145" s="14"/>
      <c r="Z145" s="2" t="str">
        <f>IF($B145&lt;&gt;"",INDEX(Config!$B$13:$AZ$76,MATCH($B145,Config!$B$13:$B$76,0),26),"")</f>
        <v/>
      </c>
      <c r="BA145" s="2" t="str">
        <f t="shared" si="7"/>
        <v/>
      </c>
    </row>
    <row r="146" spans="1:53" x14ac:dyDescent="0.15">
      <c r="A146" s="26" t="str">
        <f t="shared" si="8"/>
        <v/>
      </c>
      <c r="B146" s="14"/>
      <c r="C146" s="28" t="str">
        <f>IF(TRIM($B146)&lt;&gt;"",INDEX(Config!$B$13:$L$76,MATCH($B146,Config!$B$13:$B$76,0),2),"")</f>
        <v/>
      </c>
      <c r="D146" s="74"/>
      <c r="E146" s="14"/>
      <c r="F146" s="14"/>
      <c r="G146" s="14"/>
      <c r="H146" s="14"/>
      <c r="Z146" s="2" t="str">
        <f>IF($B146&lt;&gt;"",INDEX(Config!$B$13:$AZ$76,MATCH($B146,Config!$B$13:$B$76,0),26),"")</f>
        <v/>
      </c>
      <c r="BA146" s="2" t="str">
        <f t="shared" si="7"/>
        <v/>
      </c>
    </row>
    <row r="147" spans="1:53" x14ac:dyDescent="0.15">
      <c r="A147" s="26" t="str">
        <f t="shared" si="8"/>
        <v/>
      </c>
      <c r="B147" s="14"/>
      <c r="C147" s="28" t="str">
        <f>IF(TRIM($B147)&lt;&gt;"",INDEX(Config!$B$13:$L$76,MATCH($B147,Config!$B$13:$B$76,0),2),"")</f>
        <v/>
      </c>
      <c r="D147" s="74"/>
      <c r="E147" s="14"/>
      <c r="F147" s="14"/>
      <c r="G147" s="14"/>
      <c r="H147" s="14"/>
      <c r="Z147" s="2" t="str">
        <f>IF($B147&lt;&gt;"",INDEX(Config!$B$13:$AZ$76,MATCH($B147,Config!$B$13:$B$76,0),26),"")</f>
        <v/>
      </c>
      <c r="BA147" s="2" t="str">
        <f t="shared" si="7"/>
        <v/>
      </c>
    </row>
    <row r="148" spans="1:53" x14ac:dyDescent="0.15">
      <c r="A148" s="26" t="str">
        <f t="shared" si="8"/>
        <v/>
      </c>
      <c r="B148" s="14"/>
      <c r="C148" s="28" t="str">
        <f>IF(TRIM($B148)&lt;&gt;"",INDEX(Config!$B$13:$L$76,MATCH($B148,Config!$B$13:$B$76,0),2),"")</f>
        <v/>
      </c>
      <c r="D148" s="74"/>
      <c r="E148" s="14"/>
      <c r="F148" s="14"/>
      <c r="G148" s="14"/>
      <c r="H148" s="14"/>
      <c r="Z148" s="2" t="str">
        <f>IF($B148&lt;&gt;"",INDEX(Config!$B$13:$AZ$76,MATCH($B148,Config!$B$13:$B$76,0),26),"")</f>
        <v/>
      </c>
      <c r="BA148" s="2" t="str">
        <f t="shared" si="7"/>
        <v/>
      </c>
    </row>
    <row r="149" spans="1:53" x14ac:dyDescent="0.15">
      <c r="A149" s="26" t="str">
        <f t="shared" si="8"/>
        <v/>
      </c>
      <c r="B149" s="14"/>
      <c r="C149" s="28" t="str">
        <f>IF(TRIM($B149)&lt;&gt;"",INDEX(Config!$B$13:$L$76,MATCH($B149,Config!$B$13:$B$76,0),2),"")</f>
        <v/>
      </c>
      <c r="D149" s="74"/>
      <c r="E149" s="14"/>
      <c r="F149" s="14"/>
      <c r="G149" s="14"/>
      <c r="H149" s="14"/>
      <c r="Z149" s="2" t="str">
        <f>IF($B149&lt;&gt;"",INDEX(Config!$B$13:$AZ$76,MATCH($B149,Config!$B$13:$B$76,0),26),"")</f>
        <v/>
      </c>
      <c r="BA149" s="2" t="str">
        <f t="shared" si="7"/>
        <v/>
      </c>
    </row>
    <row r="150" spans="1:53" x14ac:dyDescent="0.15">
      <c r="A150" s="26" t="str">
        <f t="shared" si="8"/>
        <v/>
      </c>
      <c r="B150" s="14"/>
      <c r="C150" s="28" t="str">
        <f>IF(TRIM($B150)&lt;&gt;"",INDEX(Config!$B$13:$L$76,MATCH($B150,Config!$B$13:$B$76,0),2),"")</f>
        <v/>
      </c>
      <c r="D150" s="74"/>
      <c r="E150" s="14"/>
      <c r="F150" s="14"/>
      <c r="G150" s="14"/>
      <c r="H150" s="14"/>
      <c r="Z150" s="2" t="str">
        <f>IF($B150&lt;&gt;"",INDEX(Config!$B$13:$AZ$76,MATCH($B150,Config!$B$13:$B$76,0),26),"")</f>
        <v/>
      </c>
      <c r="BA150" s="2" t="str">
        <f t="shared" si="7"/>
        <v/>
      </c>
    </row>
    <row r="151" spans="1:53" x14ac:dyDescent="0.15">
      <c r="A151" s="26" t="str">
        <f t="shared" si="8"/>
        <v/>
      </c>
      <c r="B151" s="14"/>
      <c r="C151" s="28" t="str">
        <f>IF(TRIM($B151)&lt;&gt;"",INDEX(Config!$B$13:$L$76,MATCH($B151,Config!$B$13:$B$76,0),2),"")</f>
        <v/>
      </c>
      <c r="D151" s="74"/>
      <c r="E151" s="14"/>
      <c r="F151" s="14"/>
      <c r="G151" s="14"/>
      <c r="H151" s="14"/>
      <c r="Z151" s="2" t="str">
        <f>IF($B151&lt;&gt;"",INDEX(Config!$B$13:$AZ$76,MATCH($B151,Config!$B$13:$B$76,0),26),"")</f>
        <v/>
      </c>
      <c r="BA151" s="2" t="str">
        <f t="shared" si="7"/>
        <v/>
      </c>
    </row>
    <row r="152" spans="1:53" x14ac:dyDescent="0.15">
      <c r="A152" s="26" t="str">
        <f t="shared" si="8"/>
        <v/>
      </c>
      <c r="B152" s="14"/>
      <c r="C152" s="28" t="str">
        <f>IF(TRIM($B152)&lt;&gt;"",INDEX(Config!$B$13:$L$76,MATCH($B152,Config!$B$13:$B$76,0),2),"")</f>
        <v/>
      </c>
      <c r="D152" s="74"/>
      <c r="E152" s="14"/>
      <c r="F152" s="14"/>
      <c r="G152" s="14"/>
      <c r="H152" s="14"/>
      <c r="Z152" s="2" t="str">
        <f>IF($B152&lt;&gt;"",INDEX(Config!$B$13:$AZ$76,MATCH($B152,Config!$B$13:$B$76,0),26),"")</f>
        <v/>
      </c>
      <c r="BA152" s="2" t="str">
        <f t="shared" si="7"/>
        <v/>
      </c>
    </row>
    <row r="153" spans="1:53" x14ac:dyDescent="0.15">
      <c r="A153" s="26" t="str">
        <f t="shared" si="8"/>
        <v/>
      </c>
      <c r="B153" s="14"/>
      <c r="C153" s="28" t="str">
        <f>IF(TRIM($B153)&lt;&gt;"",INDEX(Config!$B$13:$L$76,MATCH($B153,Config!$B$13:$B$76,0),2),"")</f>
        <v/>
      </c>
      <c r="D153" s="74"/>
      <c r="E153" s="14"/>
      <c r="F153" s="14"/>
      <c r="G153" s="14"/>
      <c r="H153" s="14"/>
      <c r="Z153" s="2" t="str">
        <f>IF($B153&lt;&gt;"",INDEX(Config!$B$13:$AZ$76,MATCH($B153,Config!$B$13:$B$76,0),26),"")</f>
        <v/>
      </c>
      <c r="BA153" s="2" t="str">
        <f t="shared" si="7"/>
        <v/>
      </c>
    </row>
    <row r="154" spans="1:53" x14ac:dyDescent="0.15">
      <c r="A154" s="26" t="str">
        <f t="shared" si="8"/>
        <v/>
      </c>
      <c r="B154" s="14"/>
      <c r="C154" s="28" t="str">
        <f>IF(TRIM($B154)&lt;&gt;"",INDEX(Config!$B$13:$L$76,MATCH($B154,Config!$B$13:$B$76,0),2),"")</f>
        <v/>
      </c>
      <c r="D154" s="74"/>
      <c r="E154" s="14"/>
      <c r="F154" s="14"/>
      <c r="G154" s="14"/>
      <c r="H154" s="14"/>
      <c r="Z154" s="2" t="str">
        <f>IF($B154&lt;&gt;"",INDEX(Config!$B$13:$AZ$76,MATCH($B154,Config!$B$13:$B$76,0),26),"")</f>
        <v/>
      </c>
      <c r="BA154" s="2" t="str">
        <f t="shared" si="7"/>
        <v/>
      </c>
    </row>
    <row r="155" spans="1:53" x14ac:dyDescent="0.15">
      <c r="A155" s="26" t="str">
        <f t="shared" si="8"/>
        <v/>
      </c>
      <c r="B155" s="14"/>
      <c r="C155" s="28" t="str">
        <f>IF(TRIM($B155)&lt;&gt;"",INDEX(Config!$B$13:$L$76,MATCH($B155,Config!$B$13:$B$76,0),2),"")</f>
        <v/>
      </c>
      <c r="D155" s="74"/>
      <c r="E155" s="14"/>
      <c r="F155" s="14"/>
      <c r="G155" s="14"/>
      <c r="H155" s="14"/>
      <c r="Z155" s="2" t="str">
        <f>IF($B155&lt;&gt;"",INDEX(Config!$B$13:$AZ$76,MATCH($B155,Config!$B$13:$B$76,0),26),"")</f>
        <v/>
      </c>
      <c r="BA155" s="2" t="str">
        <f t="shared" si="7"/>
        <v/>
      </c>
    </row>
    <row r="156" spans="1:53" x14ac:dyDescent="0.15">
      <c r="A156" s="26" t="str">
        <f t="shared" si="8"/>
        <v/>
      </c>
      <c r="B156" s="14"/>
      <c r="C156" s="28" t="str">
        <f>IF(TRIM($B156)&lt;&gt;"",INDEX(Config!$B$13:$L$76,MATCH($B156,Config!$B$13:$B$76,0),2),"")</f>
        <v/>
      </c>
      <c r="D156" s="74"/>
      <c r="E156" s="14"/>
      <c r="F156" s="14"/>
      <c r="G156" s="14"/>
      <c r="H156" s="14"/>
      <c r="Z156" s="2" t="str">
        <f>IF($B156&lt;&gt;"",INDEX(Config!$B$13:$AZ$76,MATCH($B156,Config!$B$13:$B$76,0),26),"")</f>
        <v/>
      </c>
      <c r="BA156" s="2" t="str">
        <f t="shared" si="7"/>
        <v/>
      </c>
    </row>
    <row r="157" spans="1:53" x14ac:dyDescent="0.15">
      <c r="A157" s="26" t="str">
        <f t="shared" si="8"/>
        <v/>
      </c>
      <c r="B157" s="14"/>
      <c r="C157" s="28" t="str">
        <f>IF(TRIM($B157)&lt;&gt;"",INDEX(Config!$B$13:$L$76,MATCH($B157,Config!$B$13:$B$76,0),2),"")</f>
        <v/>
      </c>
      <c r="D157" s="74"/>
      <c r="E157" s="14"/>
      <c r="F157" s="14"/>
      <c r="G157" s="14"/>
      <c r="H157" s="14"/>
      <c r="Z157" s="2" t="str">
        <f>IF($B157&lt;&gt;"",INDEX(Config!$B$13:$AZ$76,MATCH($B157,Config!$B$13:$B$76,0),26),"")</f>
        <v/>
      </c>
      <c r="BA157" s="2" t="str">
        <f t="shared" si="7"/>
        <v/>
      </c>
    </row>
    <row r="158" spans="1:53" x14ac:dyDescent="0.15">
      <c r="A158" s="26" t="str">
        <f t="shared" si="8"/>
        <v/>
      </c>
      <c r="B158" s="14"/>
      <c r="C158" s="28" t="str">
        <f>IF(TRIM($B158)&lt;&gt;"",INDEX(Config!$B$13:$L$76,MATCH($B158,Config!$B$13:$B$76,0),2),"")</f>
        <v/>
      </c>
      <c r="D158" s="74"/>
      <c r="E158" s="14"/>
      <c r="F158" s="14"/>
      <c r="G158" s="14"/>
      <c r="H158" s="14"/>
      <c r="Z158" s="2" t="str">
        <f>IF($B158&lt;&gt;"",INDEX(Config!$B$13:$AZ$76,MATCH($B158,Config!$B$13:$B$76,0),26),"")</f>
        <v/>
      </c>
      <c r="BA158" s="2" t="str">
        <f t="shared" si="7"/>
        <v/>
      </c>
    </row>
    <row r="159" spans="1:53" x14ac:dyDescent="0.15">
      <c r="A159" s="26" t="str">
        <f t="shared" si="8"/>
        <v/>
      </c>
      <c r="B159" s="14"/>
      <c r="C159" s="28" t="str">
        <f>IF(TRIM($B159)&lt;&gt;"",INDEX(Config!$B$13:$L$76,MATCH($B159,Config!$B$13:$B$76,0),2),"")</f>
        <v/>
      </c>
      <c r="D159" s="74"/>
      <c r="E159" s="14"/>
      <c r="F159" s="14"/>
      <c r="G159" s="14"/>
      <c r="H159" s="14"/>
      <c r="Z159" s="2" t="str">
        <f>IF($B159&lt;&gt;"",INDEX(Config!$B$13:$AZ$76,MATCH($B159,Config!$B$13:$B$76,0),26),"")</f>
        <v/>
      </c>
      <c r="BA159" s="2" t="str">
        <f t="shared" si="7"/>
        <v/>
      </c>
    </row>
    <row r="160" spans="1:53" x14ac:dyDescent="0.15">
      <c r="A160" s="26" t="str">
        <f t="shared" si="8"/>
        <v/>
      </c>
      <c r="B160" s="14"/>
      <c r="C160" s="28" t="str">
        <f>IF(TRIM($B160)&lt;&gt;"",INDEX(Config!$B$13:$L$76,MATCH($B160,Config!$B$13:$B$76,0),2),"")</f>
        <v/>
      </c>
      <c r="D160" s="74"/>
      <c r="E160" s="14"/>
      <c r="F160" s="14"/>
      <c r="G160" s="14"/>
      <c r="H160" s="14"/>
      <c r="Z160" s="2" t="str">
        <f>IF($B160&lt;&gt;"",INDEX(Config!$B$13:$AZ$76,MATCH($B160,Config!$B$13:$B$76,0),26),"")</f>
        <v/>
      </c>
      <c r="BA160" s="2" t="str">
        <f t="shared" si="7"/>
        <v/>
      </c>
    </row>
    <row r="161" spans="1:53" x14ac:dyDescent="0.15">
      <c r="A161" s="26" t="str">
        <f t="shared" si="8"/>
        <v/>
      </c>
      <c r="B161" s="14"/>
      <c r="C161" s="28" t="str">
        <f>IF(TRIM($B161)&lt;&gt;"",INDEX(Config!$B$13:$L$76,MATCH($B161,Config!$B$13:$B$76,0),2),"")</f>
        <v/>
      </c>
      <c r="D161" s="74"/>
      <c r="E161" s="14"/>
      <c r="F161" s="14"/>
      <c r="G161" s="14"/>
      <c r="H161" s="14"/>
      <c r="Z161" s="2" t="str">
        <f>IF($B161&lt;&gt;"",INDEX(Config!$B$13:$AZ$76,MATCH($B161,Config!$B$13:$B$76,0),26),"")</f>
        <v/>
      </c>
      <c r="BA161" s="2" t="str">
        <f t="shared" si="7"/>
        <v/>
      </c>
    </row>
    <row r="162" spans="1:53" x14ac:dyDescent="0.15">
      <c r="A162" s="26" t="str">
        <f t="shared" si="8"/>
        <v/>
      </c>
      <c r="B162" s="14"/>
      <c r="C162" s="28" t="str">
        <f>IF(TRIM($B162)&lt;&gt;"",INDEX(Config!$B$13:$L$76,MATCH($B162,Config!$B$13:$B$76,0),2),"")</f>
        <v/>
      </c>
      <c r="D162" s="74"/>
      <c r="E162" s="14"/>
      <c r="F162" s="14"/>
      <c r="G162" s="14"/>
      <c r="H162" s="14"/>
      <c r="Z162" s="2" t="str">
        <f>IF($B162&lt;&gt;"",INDEX(Config!$B$13:$AZ$76,MATCH($B162,Config!$B$13:$B$76,0),26),"")</f>
        <v/>
      </c>
      <c r="BA162" s="2" t="str">
        <f t="shared" si="7"/>
        <v/>
      </c>
    </row>
    <row r="163" spans="1:53" x14ac:dyDescent="0.15">
      <c r="A163" s="26" t="str">
        <f t="shared" si="8"/>
        <v/>
      </c>
      <c r="B163" s="14"/>
      <c r="C163" s="28" t="str">
        <f>IF(TRIM($B163)&lt;&gt;"",INDEX(Config!$B$13:$L$76,MATCH($B163,Config!$B$13:$B$76,0),2),"")</f>
        <v/>
      </c>
      <c r="D163" s="74"/>
      <c r="E163" s="14"/>
      <c r="F163" s="14"/>
      <c r="G163" s="14"/>
      <c r="H163" s="14"/>
      <c r="Z163" s="2" t="str">
        <f>IF($B163&lt;&gt;"",INDEX(Config!$B$13:$AZ$76,MATCH($B163,Config!$B$13:$B$76,0),26),"")</f>
        <v/>
      </c>
      <c r="BA163" s="2" t="str">
        <f t="shared" si="7"/>
        <v/>
      </c>
    </row>
    <row r="164" spans="1:53" x14ac:dyDescent="0.15">
      <c r="A164" s="26" t="str">
        <f t="shared" si="8"/>
        <v/>
      </c>
      <c r="B164" s="14"/>
      <c r="C164" s="28" t="str">
        <f>IF(TRIM($B164)&lt;&gt;"",INDEX(Config!$B$13:$L$76,MATCH($B164,Config!$B$13:$B$76,0),2),"")</f>
        <v/>
      </c>
      <c r="D164" s="74"/>
      <c r="E164" s="14"/>
      <c r="F164" s="14"/>
      <c r="G164" s="14"/>
      <c r="H164" s="14"/>
      <c r="Z164" s="2" t="str">
        <f>IF($B164&lt;&gt;"",INDEX(Config!$B$13:$AZ$76,MATCH($B164,Config!$B$13:$B$76,0),26),"")</f>
        <v/>
      </c>
      <c r="BA164" s="2" t="str">
        <f t="shared" si="7"/>
        <v/>
      </c>
    </row>
    <row r="165" spans="1:53" x14ac:dyDescent="0.15">
      <c r="A165" s="26" t="str">
        <f t="shared" si="8"/>
        <v/>
      </c>
      <c r="B165" s="14"/>
      <c r="C165" s="28" t="str">
        <f>IF(TRIM($B165)&lt;&gt;"",INDEX(Config!$B$13:$L$76,MATCH($B165,Config!$B$13:$B$76,0),2),"")</f>
        <v/>
      </c>
      <c r="D165" s="74"/>
      <c r="E165" s="14"/>
      <c r="F165" s="14"/>
      <c r="G165" s="14"/>
      <c r="H165" s="14"/>
      <c r="Z165" s="2" t="str">
        <f>IF($B165&lt;&gt;"",INDEX(Config!$B$13:$AZ$76,MATCH($B165,Config!$B$13:$B$76,0),26),"")</f>
        <v/>
      </c>
      <c r="BA165" s="2" t="str">
        <f t="shared" si="7"/>
        <v/>
      </c>
    </row>
    <row r="166" spans="1:53" x14ac:dyDescent="0.15">
      <c r="A166" s="26" t="str">
        <f t="shared" si="8"/>
        <v/>
      </c>
      <c r="B166" s="14"/>
      <c r="C166" s="28" t="str">
        <f>IF(TRIM($B166)&lt;&gt;"",INDEX(Config!$B$13:$L$76,MATCH($B166,Config!$B$13:$B$76,0),2),"")</f>
        <v/>
      </c>
      <c r="D166" s="74"/>
      <c r="E166" s="14"/>
      <c r="F166" s="14"/>
      <c r="G166" s="14"/>
      <c r="H166" s="14"/>
      <c r="Z166" s="2" t="str">
        <f>IF($B166&lt;&gt;"",INDEX(Config!$B$13:$AZ$76,MATCH($B166,Config!$B$13:$B$76,0),26),"")</f>
        <v/>
      </c>
      <c r="BA166" s="2" t="str">
        <f t="shared" si="7"/>
        <v/>
      </c>
    </row>
    <row r="167" spans="1:53" x14ac:dyDescent="0.15">
      <c r="A167" s="26" t="str">
        <f t="shared" si="8"/>
        <v/>
      </c>
      <c r="B167" s="14"/>
      <c r="C167" s="28" t="str">
        <f>IF(TRIM($B167)&lt;&gt;"",INDEX(Config!$B$13:$L$76,MATCH($B167,Config!$B$13:$B$76,0),2),"")</f>
        <v/>
      </c>
      <c r="D167" s="74"/>
      <c r="E167" s="14"/>
      <c r="F167" s="14"/>
      <c r="G167" s="14"/>
      <c r="H167" s="14"/>
      <c r="Z167" s="2" t="str">
        <f>IF($B167&lt;&gt;"",INDEX(Config!$B$13:$AZ$76,MATCH($B167,Config!$B$13:$B$76,0),26),"")</f>
        <v/>
      </c>
      <c r="BA167" s="2" t="str">
        <f t="shared" si="7"/>
        <v/>
      </c>
    </row>
    <row r="168" spans="1:53" x14ac:dyDescent="0.15">
      <c r="A168" s="26" t="str">
        <f t="shared" si="8"/>
        <v/>
      </c>
      <c r="B168" s="14"/>
      <c r="C168" s="28" t="str">
        <f>IF(TRIM($B168)&lt;&gt;"",INDEX(Config!$B$13:$L$76,MATCH($B168,Config!$B$13:$B$76,0),2),"")</f>
        <v/>
      </c>
      <c r="D168" s="74"/>
      <c r="E168" s="14"/>
      <c r="F168" s="14"/>
      <c r="G168" s="14"/>
      <c r="H168" s="14"/>
      <c r="Z168" s="2" t="str">
        <f>IF($B168&lt;&gt;"",INDEX(Config!$B$13:$AZ$76,MATCH($B168,Config!$B$13:$B$76,0),26),"")</f>
        <v/>
      </c>
      <c r="BA168" s="2" t="str">
        <f t="shared" si="7"/>
        <v/>
      </c>
    </row>
    <row r="169" spans="1:53" x14ac:dyDescent="0.15">
      <c r="A169" s="26" t="str">
        <f t="shared" si="8"/>
        <v/>
      </c>
      <c r="B169" s="14"/>
      <c r="C169" s="28" t="str">
        <f>IF(TRIM($B169)&lt;&gt;"",INDEX(Config!$B$13:$L$76,MATCH($B169,Config!$B$13:$B$76,0),2),"")</f>
        <v/>
      </c>
      <c r="D169" s="74"/>
      <c r="E169" s="14"/>
      <c r="F169" s="14"/>
      <c r="G169" s="14"/>
      <c r="H169" s="14"/>
      <c r="Z169" s="2" t="str">
        <f>IF($B169&lt;&gt;"",INDEX(Config!$B$13:$AZ$76,MATCH($B169,Config!$B$13:$B$76,0),26),"")</f>
        <v/>
      </c>
      <c r="BA169" s="2" t="str">
        <f t="shared" si="7"/>
        <v/>
      </c>
    </row>
    <row r="170" spans="1:53" x14ac:dyDescent="0.15">
      <c r="A170" s="26" t="str">
        <f t="shared" si="8"/>
        <v/>
      </c>
      <c r="B170" s="14"/>
      <c r="C170" s="28" t="str">
        <f>IF(TRIM($B170)&lt;&gt;"",INDEX(Config!$B$13:$L$76,MATCH($B170,Config!$B$13:$B$76,0),2),"")</f>
        <v/>
      </c>
      <c r="D170" s="74"/>
      <c r="E170" s="14"/>
      <c r="F170" s="14"/>
      <c r="G170" s="14"/>
      <c r="H170" s="14"/>
      <c r="Z170" s="2" t="str">
        <f>IF($B170&lt;&gt;"",INDEX(Config!$B$13:$AZ$76,MATCH($B170,Config!$B$13:$B$76,0),26),"")</f>
        <v/>
      </c>
      <c r="BA170" s="2" t="str">
        <f t="shared" si="7"/>
        <v/>
      </c>
    </row>
    <row r="171" spans="1:53" x14ac:dyDescent="0.15">
      <c r="A171" s="26" t="str">
        <f t="shared" si="8"/>
        <v/>
      </c>
      <c r="B171" s="14"/>
      <c r="C171" s="28" t="str">
        <f>IF(TRIM($B171)&lt;&gt;"",INDEX(Config!$B$13:$L$76,MATCH($B171,Config!$B$13:$B$76,0),2),"")</f>
        <v/>
      </c>
      <c r="D171" s="74"/>
      <c r="E171" s="14"/>
      <c r="F171" s="14"/>
      <c r="G171" s="14"/>
      <c r="H171" s="14"/>
      <c r="Z171" s="2" t="str">
        <f>IF($B171&lt;&gt;"",INDEX(Config!$B$13:$AZ$76,MATCH($B171,Config!$B$13:$B$76,0),26),"")</f>
        <v/>
      </c>
      <c r="BA171" s="2" t="str">
        <f t="shared" si="7"/>
        <v/>
      </c>
    </row>
    <row r="172" spans="1:53" x14ac:dyDescent="0.15">
      <c r="A172" s="26" t="str">
        <f t="shared" si="8"/>
        <v/>
      </c>
      <c r="B172" s="14"/>
      <c r="C172" s="28" t="str">
        <f>IF(TRIM($B172)&lt;&gt;"",INDEX(Config!$B$13:$L$76,MATCH($B172,Config!$B$13:$B$76,0),2),"")</f>
        <v/>
      </c>
      <c r="D172" s="74"/>
      <c r="E172" s="14"/>
      <c r="F172" s="14"/>
      <c r="G172" s="14"/>
      <c r="H172" s="14"/>
      <c r="Z172" s="2" t="str">
        <f>IF($B172&lt;&gt;"",INDEX(Config!$B$13:$AZ$76,MATCH($B172,Config!$B$13:$B$76,0),26),"")</f>
        <v/>
      </c>
      <c r="BA172" s="2" t="str">
        <f t="shared" si="7"/>
        <v/>
      </c>
    </row>
    <row r="173" spans="1:53" x14ac:dyDescent="0.15">
      <c r="A173" s="26" t="str">
        <f t="shared" si="8"/>
        <v/>
      </c>
      <c r="B173" s="14"/>
      <c r="C173" s="28" t="str">
        <f>IF(TRIM($B173)&lt;&gt;"",INDEX(Config!$B$13:$L$76,MATCH($B173,Config!$B$13:$B$76,0),2),"")</f>
        <v/>
      </c>
      <c r="D173" s="74"/>
      <c r="E173" s="14"/>
      <c r="F173" s="14"/>
      <c r="G173" s="14"/>
      <c r="H173" s="14"/>
      <c r="Z173" s="2" t="str">
        <f>IF($B173&lt;&gt;"",INDEX(Config!$B$13:$AZ$76,MATCH($B173,Config!$B$13:$B$76,0),26),"")</f>
        <v/>
      </c>
      <c r="BA173" s="2" t="str">
        <f t="shared" si="7"/>
        <v/>
      </c>
    </row>
    <row r="174" spans="1:53" x14ac:dyDescent="0.15">
      <c r="A174" s="26" t="str">
        <f t="shared" si="8"/>
        <v/>
      </c>
      <c r="B174" s="14"/>
      <c r="C174" s="28" t="str">
        <f>IF(TRIM($B174)&lt;&gt;"",INDEX(Config!$B$13:$L$76,MATCH($B174,Config!$B$13:$B$76,0),2),"")</f>
        <v/>
      </c>
      <c r="D174" s="74"/>
      <c r="E174" s="14"/>
      <c r="F174" s="14"/>
      <c r="G174" s="14"/>
      <c r="H174" s="14"/>
      <c r="Z174" s="2" t="str">
        <f>IF($B174&lt;&gt;"",INDEX(Config!$B$13:$AZ$76,MATCH($B174,Config!$B$13:$B$76,0),26),"")</f>
        <v/>
      </c>
      <c r="BA174" s="2" t="str">
        <f t="shared" si="7"/>
        <v/>
      </c>
    </row>
    <row r="175" spans="1:53" x14ac:dyDescent="0.15">
      <c r="A175" s="26" t="str">
        <f t="shared" si="8"/>
        <v/>
      </c>
      <c r="B175" s="14"/>
      <c r="C175" s="28" t="str">
        <f>IF(TRIM($B175)&lt;&gt;"",INDEX(Config!$B$13:$L$76,MATCH($B175,Config!$B$13:$B$76,0),2),"")</f>
        <v/>
      </c>
      <c r="D175" s="74"/>
      <c r="E175" s="14"/>
      <c r="F175" s="14"/>
      <c r="G175" s="14"/>
      <c r="H175" s="14"/>
      <c r="Z175" s="2" t="str">
        <f>IF($B175&lt;&gt;"",INDEX(Config!$B$13:$AZ$76,MATCH($B175,Config!$B$13:$B$76,0),26),"")</f>
        <v/>
      </c>
      <c r="BA175" s="2" t="str">
        <f t="shared" si="7"/>
        <v/>
      </c>
    </row>
    <row r="176" spans="1:53" x14ac:dyDescent="0.15">
      <c r="A176" s="26" t="str">
        <f t="shared" si="8"/>
        <v/>
      </c>
      <c r="B176" s="14"/>
      <c r="C176" s="28" t="str">
        <f>IF(TRIM($B176)&lt;&gt;"",INDEX(Config!$B$13:$L$76,MATCH($B176,Config!$B$13:$B$76,0),2),"")</f>
        <v/>
      </c>
      <c r="D176" s="74"/>
      <c r="E176" s="14"/>
      <c r="F176" s="14"/>
      <c r="G176" s="14"/>
      <c r="H176" s="14"/>
      <c r="Z176" s="2" t="str">
        <f>IF($B176&lt;&gt;"",INDEX(Config!$B$13:$AZ$76,MATCH($B176,Config!$B$13:$B$76,0),26),"")</f>
        <v/>
      </c>
      <c r="BA176" s="2" t="str">
        <f t="shared" si="7"/>
        <v/>
      </c>
    </row>
    <row r="177" spans="1:53" x14ac:dyDescent="0.15">
      <c r="A177" s="26" t="str">
        <f t="shared" si="8"/>
        <v/>
      </c>
      <c r="B177" s="14"/>
      <c r="C177" s="28" t="str">
        <f>IF(TRIM($B177)&lt;&gt;"",INDEX(Config!$B$13:$L$76,MATCH($B177,Config!$B$13:$B$76,0),2),"")</f>
        <v/>
      </c>
      <c r="D177" s="74"/>
      <c r="E177" s="14"/>
      <c r="F177" s="14"/>
      <c r="G177" s="14"/>
      <c r="H177" s="14"/>
      <c r="Z177" s="2" t="str">
        <f>IF($B177&lt;&gt;"",INDEX(Config!$B$13:$AZ$76,MATCH($B177,Config!$B$13:$B$76,0),26),"")</f>
        <v/>
      </c>
      <c r="BA177" s="2" t="str">
        <f t="shared" si="7"/>
        <v/>
      </c>
    </row>
    <row r="178" spans="1:53" x14ac:dyDescent="0.15">
      <c r="A178" s="26" t="str">
        <f t="shared" si="8"/>
        <v/>
      </c>
      <c r="B178" s="14"/>
      <c r="C178" s="28" t="str">
        <f>IF(TRIM($B178)&lt;&gt;"",INDEX(Config!$B$13:$L$76,MATCH($B178,Config!$B$13:$B$76,0),2),"")</f>
        <v/>
      </c>
      <c r="D178" s="74"/>
      <c r="E178" s="14"/>
      <c r="F178" s="14"/>
      <c r="G178" s="14"/>
      <c r="H178" s="14"/>
      <c r="Z178" s="2" t="str">
        <f>IF($B178&lt;&gt;"",INDEX(Config!$B$13:$AZ$76,MATCH($B178,Config!$B$13:$B$76,0),26),"")</f>
        <v/>
      </c>
      <c r="BA178" s="2" t="str">
        <f t="shared" si="7"/>
        <v/>
      </c>
    </row>
    <row r="179" spans="1:53" x14ac:dyDescent="0.15">
      <c r="A179" s="26" t="str">
        <f t="shared" si="8"/>
        <v/>
      </c>
      <c r="B179" s="14"/>
      <c r="C179" s="28" t="str">
        <f>IF(TRIM($B179)&lt;&gt;"",INDEX(Config!$B$13:$L$76,MATCH($B179,Config!$B$13:$B$76,0),2),"")</f>
        <v/>
      </c>
      <c r="D179" s="74"/>
      <c r="E179" s="14"/>
      <c r="F179" s="14"/>
      <c r="G179" s="14"/>
      <c r="H179" s="14"/>
      <c r="Z179" s="2" t="str">
        <f>IF($B179&lt;&gt;"",INDEX(Config!$B$13:$AZ$76,MATCH($B179,Config!$B$13:$B$76,0),26),"")</f>
        <v/>
      </c>
      <c r="BA179" s="2" t="str">
        <f t="shared" si="7"/>
        <v/>
      </c>
    </row>
    <row r="180" spans="1:53" x14ac:dyDescent="0.15">
      <c r="A180" s="26" t="str">
        <f t="shared" si="8"/>
        <v/>
      </c>
      <c r="B180" s="14"/>
      <c r="C180" s="28" t="str">
        <f>IF(TRIM($B180)&lt;&gt;"",INDEX(Config!$B$13:$L$76,MATCH($B180,Config!$B$13:$B$76,0),2),"")</f>
        <v/>
      </c>
      <c r="D180" s="74"/>
      <c r="E180" s="14"/>
      <c r="F180" s="14"/>
      <c r="G180" s="14"/>
      <c r="H180" s="14"/>
      <c r="Z180" s="2" t="str">
        <f>IF($B180&lt;&gt;"",INDEX(Config!$B$13:$AZ$76,MATCH($B180,Config!$B$13:$B$76,0),26),"")</f>
        <v/>
      </c>
      <c r="BA180" s="2" t="str">
        <f t="shared" si="7"/>
        <v/>
      </c>
    </row>
    <row r="181" spans="1:53" x14ac:dyDescent="0.15">
      <c r="A181" s="26" t="str">
        <f t="shared" si="8"/>
        <v/>
      </c>
      <c r="B181" s="14"/>
      <c r="C181" s="28" t="str">
        <f>IF(TRIM($B181)&lt;&gt;"",INDEX(Config!$B$13:$L$76,MATCH($B181,Config!$B$13:$B$76,0),2),"")</f>
        <v/>
      </c>
      <c r="D181" s="74"/>
      <c r="E181" s="14"/>
      <c r="F181" s="14"/>
      <c r="G181" s="14"/>
      <c r="H181" s="14"/>
      <c r="Z181" s="2" t="str">
        <f>IF($B181&lt;&gt;"",INDEX(Config!$B$13:$AZ$76,MATCH($B181,Config!$B$13:$B$76,0),26),"")</f>
        <v/>
      </c>
      <c r="BA181" s="2" t="str">
        <f t="shared" si="7"/>
        <v/>
      </c>
    </row>
    <row r="182" spans="1:53" x14ac:dyDescent="0.15">
      <c r="A182" s="26" t="str">
        <f t="shared" si="8"/>
        <v/>
      </c>
      <c r="B182" s="14"/>
      <c r="C182" s="28" t="str">
        <f>IF(TRIM($B182)&lt;&gt;"",INDEX(Config!$B$13:$L$76,MATCH($B182,Config!$B$13:$B$76,0),2),"")</f>
        <v/>
      </c>
      <c r="D182" s="74"/>
      <c r="E182" s="14"/>
      <c r="F182" s="14"/>
      <c r="G182" s="14"/>
      <c r="H182" s="14"/>
      <c r="Z182" s="2" t="str">
        <f>IF($B182&lt;&gt;"",INDEX(Config!$B$13:$AZ$76,MATCH($B182,Config!$B$13:$B$76,0),26),"")</f>
        <v/>
      </c>
      <c r="BA182" s="2" t="str">
        <f t="shared" si="7"/>
        <v/>
      </c>
    </row>
    <row r="183" spans="1:53" x14ac:dyDescent="0.15">
      <c r="A183" s="26" t="str">
        <f t="shared" si="8"/>
        <v/>
      </c>
      <c r="B183" s="14"/>
      <c r="C183" s="28" t="str">
        <f>IF(TRIM($B183)&lt;&gt;"",INDEX(Config!$B$13:$L$76,MATCH($B183,Config!$B$13:$B$76,0),2),"")</f>
        <v/>
      </c>
      <c r="D183" s="74"/>
      <c r="E183" s="14"/>
      <c r="F183" s="14"/>
      <c r="G183" s="14"/>
      <c r="H183" s="14"/>
      <c r="Z183" s="2" t="str">
        <f>IF($B183&lt;&gt;"",INDEX(Config!$B$13:$AZ$76,MATCH($B183,Config!$B$13:$B$76,0),26),"")</f>
        <v/>
      </c>
      <c r="BA183" s="2" t="str">
        <f t="shared" si="7"/>
        <v/>
      </c>
    </row>
    <row r="184" spans="1:53" x14ac:dyDescent="0.15">
      <c r="A184" s="26" t="str">
        <f t="shared" si="8"/>
        <v/>
      </c>
      <c r="B184" s="14"/>
      <c r="C184" s="28" t="str">
        <f>IF(TRIM($B184)&lt;&gt;"",INDEX(Config!$B$13:$L$76,MATCH($B184,Config!$B$13:$B$76,0),2),"")</f>
        <v/>
      </c>
      <c r="D184" s="74"/>
      <c r="E184" s="14"/>
      <c r="F184" s="14"/>
      <c r="G184" s="14"/>
      <c r="H184" s="14"/>
      <c r="Z184" s="2" t="str">
        <f>IF($B184&lt;&gt;"",INDEX(Config!$B$13:$AZ$76,MATCH($B184,Config!$B$13:$B$76,0),26),"")</f>
        <v/>
      </c>
      <c r="BA184" s="2" t="str">
        <f t="shared" si="7"/>
        <v/>
      </c>
    </row>
    <row r="185" spans="1:53" x14ac:dyDescent="0.15">
      <c r="A185" s="26" t="str">
        <f t="shared" si="8"/>
        <v/>
      </c>
      <c r="B185" s="14"/>
      <c r="C185" s="28" t="str">
        <f>IF(TRIM($B185)&lt;&gt;"",INDEX(Config!$B$13:$L$76,MATCH($B185,Config!$B$13:$B$76,0),2),"")</f>
        <v/>
      </c>
      <c r="D185" s="74"/>
      <c r="E185" s="14"/>
      <c r="F185" s="14"/>
      <c r="G185" s="14"/>
      <c r="H185" s="14"/>
      <c r="Z185" s="2" t="str">
        <f>IF($B185&lt;&gt;"",INDEX(Config!$B$13:$AZ$76,MATCH($B185,Config!$B$13:$B$76,0),26),"")</f>
        <v/>
      </c>
      <c r="BA185" s="2" t="str">
        <f t="shared" si="7"/>
        <v/>
      </c>
    </row>
    <row r="186" spans="1:53" x14ac:dyDescent="0.15">
      <c r="A186" s="26" t="str">
        <f t="shared" si="8"/>
        <v/>
      </c>
      <c r="B186" s="14"/>
      <c r="C186" s="28" t="str">
        <f>IF(TRIM($B186)&lt;&gt;"",INDEX(Config!$B$13:$L$76,MATCH($B186,Config!$B$13:$B$76,0),2),"")</f>
        <v/>
      </c>
      <c r="D186" s="74"/>
      <c r="E186" s="14"/>
      <c r="F186" s="14"/>
      <c r="G186" s="14"/>
      <c r="H186" s="14"/>
      <c r="Z186" s="2" t="str">
        <f>IF($B186&lt;&gt;"",INDEX(Config!$B$13:$AZ$76,MATCH($B186,Config!$B$13:$B$76,0),26),"")</f>
        <v/>
      </c>
      <c r="BA186" s="2" t="str">
        <f t="shared" si="7"/>
        <v/>
      </c>
    </row>
    <row r="187" spans="1:53" x14ac:dyDescent="0.15">
      <c r="A187" s="26" t="str">
        <f t="shared" si="8"/>
        <v/>
      </c>
      <c r="B187" s="14"/>
      <c r="C187" s="28" t="str">
        <f>IF(TRIM($B187)&lt;&gt;"",INDEX(Config!$B$13:$L$76,MATCH($B187,Config!$B$13:$B$76,0),2),"")</f>
        <v/>
      </c>
      <c r="D187" s="74"/>
      <c r="E187" s="14"/>
      <c r="F187" s="14"/>
      <c r="G187" s="14"/>
      <c r="H187" s="14"/>
      <c r="Z187" s="2" t="str">
        <f>IF($B187&lt;&gt;"",INDEX(Config!$B$13:$AZ$76,MATCH($B187,Config!$B$13:$B$76,0),26),"")</f>
        <v/>
      </c>
      <c r="BA187" s="2" t="str">
        <f t="shared" si="7"/>
        <v/>
      </c>
    </row>
    <row r="188" spans="1:53" x14ac:dyDescent="0.15">
      <c r="A188" s="26" t="str">
        <f t="shared" si="8"/>
        <v/>
      </c>
      <c r="B188" s="14"/>
      <c r="C188" s="28" t="str">
        <f>IF(TRIM($B188)&lt;&gt;"",INDEX(Config!$B$13:$L$76,MATCH($B188,Config!$B$13:$B$76,0),2),"")</f>
        <v/>
      </c>
      <c r="D188" s="74"/>
      <c r="E188" s="14"/>
      <c r="F188" s="14"/>
      <c r="G188" s="14"/>
      <c r="H188" s="14"/>
      <c r="Z188" s="2" t="str">
        <f>IF($B188&lt;&gt;"",INDEX(Config!$B$13:$AZ$76,MATCH($B188,Config!$B$13:$B$76,0),26),"")</f>
        <v/>
      </c>
      <c r="BA188" s="2" t="str">
        <f t="shared" si="7"/>
        <v/>
      </c>
    </row>
    <row r="189" spans="1:53" x14ac:dyDescent="0.15">
      <c r="A189" s="26" t="str">
        <f t="shared" si="8"/>
        <v/>
      </c>
      <c r="B189" s="14"/>
      <c r="C189" s="28" t="str">
        <f>IF(TRIM($B189)&lt;&gt;"",INDEX(Config!$B$13:$L$76,MATCH($B189,Config!$B$13:$B$76,0),2),"")</f>
        <v/>
      </c>
      <c r="D189" s="74"/>
      <c r="E189" s="14"/>
      <c r="F189" s="14"/>
      <c r="G189" s="14"/>
      <c r="H189" s="14"/>
      <c r="Z189" s="2" t="str">
        <f>IF($B189&lt;&gt;"",INDEX(Config!$B$13:$AZ$76,MATCH($B189,Config!$B$13:$B$76,0),26),"")</f>
        <v/>
      </c>
      <c r="BA189" s="2" t="str">
        <f t="shared" si="7"/>
        <v/>
      </c>
    </row>
    <row r="190" spans="1:53" x14ac:dyDescent="0.15">
      <c r="A190" s="26" t="str">
        <f t="shared" si="8"/>
        <v/>
      </c>
      <c r="B190" s="14"/>
      <c r="C190" s="28" t="str">
        <f>IF(TRIM($B190)&lt;&gt;"",INDEX(Config!$B$13:$L$76,MATCH($B190,Config!$B$13:$B$76,0),2),"")</f>
        <v/>
      </c>
      <c r="D190" s="74"/>
      <c r="E190" s="14"/>
      <c r="F190" s="14"/>
      <c r="G190" s="14"/>
      <c r="H190" s="14"/>
      <c r="Z190" s="2" t="str">
        <f>IF($B190&lt;&gt;"",INDEX(Config!$B$13:$AZ$76,MATCH($B190,Config!$B$13:$B$76,0),26),"")</f>
        <v/>
      </c>
      <c r="BA190" s="2" t="str">
        <f t="shared" si="7"/>
        <v/>
      </c>
    </row>
    <row r="191" spans="1:53" x14ac:dyDescent="0.15">
      <c r="A191" s="26" t="str">
        <f t="shared" si="8"/>
        <v/>
      </c>
      <c r="B191" s="14"/>
      <c r="C191" s="28" t="str">
        <f>IF(TRIM($B191)&lt;&gt;"",INDEX(Config!$B$13:$L$76,MATCH($B191,Config!$B$13:$B$76,0),2),"")</f>
        <v/>
      </c>
      <c r="D191" s="74"/>
      <c r="E191" s="14"/>
      <c r="F191" s="14"/>
      <c r="G191" s="14"/>
      <c r="H191" s="14"/>
      <c r="Z191" s="2" t="str">
        <f>IF($B191&lt;&gt;"",INDEX(Config!$B$13:$AZ$76,MATCH($B191,Config!$B$13:$B$76,0),26),"")</f>
        <v/>
      </c>
      <c r="BA191" s="2" t="str">
        <f t="shared" si="7"/>
        <v/>
      </c>
    </row>
    <row r="192" spans="1:53" x14ac:dyDescent="0.15">
      <c r="A192" s="26" t="str">
        <f t="shared" si="8"/>
        <v/>
      </c>
      <c r="B192" s="14"/>
      <c r="C192" s="28" t="str">
        <f>IF(TRIM($B192)&lt;&gt;"",INDEX(Config!$B$13:$L$76,MATCH($B192,Config!$B$13:$B$76,0),2),"")</f>
        <v/>
      </c>
      <c r="D192" s="74"/>
      <c r="E192" s="14"/>
      <c r="F192" s="14"/>
      <c r="G192" s="14"/>
      <c r="H192" s="14"/>
      <c r="Z192" s="2" t="str">
        <f>IF($B192&lt;&gt;"",INDEX(Config!$B$13:$AZ$76,MATCH($B192,Config!$B$13:$B$76,0),26),"")</f>
        <v/>
      </c>
      <c r="BA192" s="2" t="str">
        <f t="shared" si="7"/>
        <v/>
      </c>
    </row>
    <row r="193" spans="1:53" x14ac:dyDescent="0.15">
      <c r="A193" s="26" t="str">
        <f t="shared" si="8"/>
        <v/>
      </c>
      <c r="B193" s="14"/>
      <c r="C193" s="28" t="str">
        <f>IF(TRIM($B193)&lt;&gt;"",INDEX(Config!$B$13:$L$76,MATCH($B193,Config!$B$13:$B$76,0),2),"")</f>
        <v/>
      </c>
      <c r="D193" s="74"/>
      <c r="E193" s="14"/>
      <c r="F193" s="14"/>
      <c r="G193" s="14"/>
      <c r="H193" s="14"/>
      <c r="Z193" s="2" t="str">
        <f>IF($B193&lt;&gt;"",INDEX(Config!$B$13:$AZ$76,MATCH($B193,Config!$B$13:$B$76,0),26),"")</f>
        <v/>
      </c>
      <c r="BA193" s="2" t="str">
        <f t="shared" si="7"/>
        <v/>
      </c>
    </row>
    <row r="194" spans="1:53" x14ac:dyDescent="0.15">
      <c r="A194" s="26" t="str">
        <f t="shared" si="8"/>
        <v/>
      </c>
      <c r="B194" s="14"/>
      <c r="C194" s="28" t="str">
        <f>IF(TRIM($B194)&lt;&gt;"",INDEX(Config!$B$13:$L$76,MATCH($B194,Config!$B$13:$B$76,0),2),"")</f>
        <v/>
      </c>
      <c r="D194" s="74"/>
      <c r="E194" s="14"/>
      <c r="F194" s="14"/>
      <c r="G194" s="14"/>
      <c r="H194" s="14"/>
      <c r="Z194" s="2" t="str">
        <f>IF($B194&lt;&gt;"",INDEX(Config!$B$13:$AZ$76,MATCH($B194,Config!$B$13:$B$76,0),26),"")</f>
        <v/>
      </c>
      <c r="BA194" s="2" t="str">
        <f t="shared" si="7"/>
        <v/>
      </c>
    </row>
    <row r="195" spans="1:53" x14ac:dyDescent="0.15">
      <c r="A195" s="26" t="str">
        <f t="shared" si="8"/>
        <v/>
      </c>
      <c r="B195" s="14"/>
      <c r="C195" s="28" t="str">
        <f>IF(TRIM($B195)&lt;&gt;"",INDEX(Config!$B$13:$L$76,MATCH($B195,Config!$B$13:$B$76,0),2),"")</f>
        <v/>
      </c>
      <c r="D195" s="74"/>
      <c r="E195" s="14"/>
      <c r="F195" s="14"/>
      <c r="G195" s="14"/>
      <c r="H195" s="14"/>
      <c r="Z195" s="2" t="str">
        <f>IF($B195&lt;&gt;"",INDEX(Config!$B$13:$AZ$76,MATCH($B195,Config!$B$13:$B$76,0),26),"")</f>
        <v/>
      </c>
      <c r="BA195" s="2" t="str">
        <f t="shared" si="7"/>
        <v/>
      </c>
    </row>
    <row r="196" spans="1:53" x14ac:dyDescent="0.15">
      <c r="A196" s="26" t="str">
        <f t="shared" si="8"/>
        <v/>
      </c>
      <c r="B196" s="14"/>
      <c r="C196" s="28" t="str">
        <f>IF(TRIM($B196)&lt;&gt;"",INDEX(Config!$B$13:$L$76,MATCH($B196,Config!$B$13:$B$76,0),2),"")</f>
        <v/>
      </c>
      <c r="D196" s="74"/>
      <c r="E196" s="14"/>
      <c r="F196" s="14"/>
      <c r="G196" s="14"/>
      <c r="H196" s="14"/>
      <c r="Z196" s="2" t="str">
        <f>IF($B196&lt;&gt;"",INDEX(Config!$B$13:$AZ$76,MATCH($B196,Config!$B$13:$B$76,0),26),"")</f>
        <v/>
      </c>
      <c r="BA196" s="2" t="str">
        <f t="shared" si="7"/>
        <v/>
      </c>
    </row>
    <row r="197" spans="1:53" x14ac:dyDescent="0.15">
      <c r="A197" s="26" t="str">
        <f t="shared" si="8"/>
        <v/>
      </c>
      <c r="B197" s="14"/>
      <c r="C197" s="28" t="str">
        <f>IF(TRIM($B197)&lt;&gt;"",INDEX(Config!$B$13:$L$76,MATCH($B197,Config!$B$13:$B$76,0),2),"")</f>
        <v/>
      </c>
      <c r="D197" s="74"/>
      <c r="E197" s="14"/>
      <c r="F197" s="14"/>
      <c r="G197" s="14"/>
      <c r="H197" s="14"/>
      <c r="Z197" s="2" t="str">
        <f>IF($B197&lt;&gt;"",INDEX(Config!$B$13:$AZ$76,MATCH($B197,Config!$B$13:$B$76,0),26),"")</f>
        <v/>
      </c>
      <c r="BA197" s="2" t="str">
        <f t="shared" si="7"/>
        <v/>
      </c>
    </row>
    <row r="198" spans="1:53" x14ac:dyDescent="0.15">
      <c r="A198" s="26" t="str">
        <f t="shared" si="8"/>
        <v/>
      </c>
      <c r="B198" s="14"/>
      <c r="C198" s="28" t="str">
        <f>IF(TRIM($B198)&lt;&gt;"",INDEX(Config!$B$13:$L$76,MATCH($B198,Config!$B$13:$B$76,0),2),"")</f>
        <v/>
      </c>
      <c r="D198" s="74"/>
      <c r="E198" s="14"/>
      <c r="F198" s="14"/>
      <c r="G198" s="14"/>
      <c r="H198" s="14"/>
      <c r="Z198" s="2" t="str">
        <f>IF($B198&lt;&gt;"",INDEX(Config!$B$13:$AZ$76,MATCH($B198,Config!$B$13:$B$76,0),26),"")</f>
        <v/>
      </c>
      <c r="BA198" s="2" t="str">
        <f t="shared" si="7"/>
        <v/>
      </c>
    </row>
    <row r="199" spans="1:53" x14ac:dyDescent="0.15">
      <c r="A199" s="26" t="str">
        <f t="shared" si="8"/>
        <v/>
      </c>
      <c r="B199" s="14"/>
      <c r="C199" s="28" t="str">
        <f>IF(TRIM($B199)&lt;&gt;"",INDEX(Config!$B$13:$L$76,MATCH($B199,Config!$B$13:$B$76,0),2),"")</f>
        <v/>
      </c>
      <c r="D199" s="74"/>
      <c r="E199" s="14"/>
      <c r="F199" s="14"/>
      <c r="G199" s="14"/>
      <c r="H199" s="14"/>
      <c r="Z199" s="2" t="str">
        <f>IF($B199&lt;&gt;"",INDEX(Config!$B$13:$AZ$76,MATCH($B199,Config!$B$13:$B$76,0),26),"")</f>
        <v/>
      </c>
      <c r="BA199" s="2" t="str">
        <f t="shared" si="7"/>
        <v/>
      </c>
    </row>
    <row r="200" spans="1:53" x14ac:dyDescent="0.15">
      <c r="A200" s="26" t="str">
        <f t="shared" ref="A200:A263" si="9">IF(B200&lt;&gt;"","#"&amp;ROW()-1,"")</f>
        <v/>
      </c>
      <c r="B200" s="14"/>
      <c r="C200" s="28" t="str">
        <f>IF(TRIM($B200)&lt;&gt;"",INDEX(Config!$B$13:$L$76,MATCH($B200,Config!$B$13:$B$76,0),2),"")</f>
        <v/>
      </c>
      <c r="D200" s="74"/>
      <c r="E200" s="14"/>
      <c r="F200" s="14"/>
      <c r="G200" s="14"/>
      <c r="H200" s="14"/>
      <c r="Z200" s="2" t="str">
        <f>IF($B200&lt;&gt;"",INDEX(Config!$B$13:$AZ$76,MATCH($B200,Config!$B$13:$B$76,0),26),"")</f>
        <v/>
      </c>
      <c r="BA200" s="2" t="str">
        <f t="shared" ref="BA200:BA263" si="10">IF($B200&lt;&gt;"",ROW()-1,"")</f>
        <v/>
      </c>
    </row>
    <row r="201" spans="1:53" x14ac:dyDescent="0.15">
      <c r="A201" s="26" t="str">
        <f t="shared" si="9"/>
        <v/>
      </c>
      <c r="B201" s="14"/>
      <c r="C201" s="28" t="str">
        <f>IF(TRIM($B201)&lt;&gt;"",INDEX(Config!$B$13:$L$76,MATCH($B201,Config!$B$13:$B$76,0),2),"")</f>
        <v/>
      </c>
      <c r="D201" s="74"/>
      <c r="E201" s="14"/>
      <c r="F201" s="14"/>
      <c r="G201" s="14"/>
      <c r="H201" s="14"/>
      <c r="Z201" s="2" t="str">
        <f>IF($B201&lt;&gt;"",INDEX(Config!$B$13:$AZ$76,MATCH($B201,Config!$B$13:$B$76,0),26),"")</f>
        <v/>
      </c>
      <c r="BA201" s="2" t="str">
        <f t="shared" si="10"/>
        <v/>
      </c>
    </row>
    <row r="202" spans="1:53" x14ac:dyDescent="0.15">
      <c r="A202" s="26" t="str">
        <f t="shared" si="9"/>
        <v/>
      </c>
      <c r="B202" s="14"/>
      <c r="C202" s="28" t="str">
        <f>IF(TRIM($B202)&lt;&gt;"",INDEX(Config!$B$13:$L$76,MATCH($B202,Config!$B$13:$B$76,0),2),"")</f>
        <v/>
      </c>
      <c r="D202" s="74"/>
      <c r="E202" s="14"/>
      <c r="F202" s="14"/>
      <c r="G202" s="14"/>
      <c r="H202" s="14"/>
      <c r="Z202" s="2" t="str">
        <f>IF($B202&lt;&gt;"",INDEX(Config!$B$13:$AZ$76,MATCH($B202,Config!$B$13:$B$76,0),26),"")</f>
        <v/>
      </c>
      <c r="BA202" s="2" t="str">
        <f t="shared" si="10"/>
        <v/>
      </c>
    </row>
    <row r="203" spans="1:53" x14ac:dyDescent="0.15">
      <c r="A203" s="26" t="str">
        <f t="shared" si="9"/>
        <v/>
      </c>
      <c r="B203" s="14"/>
      <c r="C203" s="28" t="str">
        <f>IF(TRIM($B203)&lt;&gt;"",INDEX(Config!$B$13:$L$76,MATCH($B203,Config!$B$13:$B$76,0),2),"")</f>
        <v/>
      </c>
      <c r="D203" s="74"/>
      <c r="E203" s="14"/>
      <c r="F203" s="14"/>
      <c r="G203" s="14"/>
      <c r="H203" s="14"/>
      <c r="Z203" s="2" t="str">
        <f>IF($B203&lt;&gt;"",INDEX(Config!$B$13:$AZ$76,MATCH($B203,Config!$B$13:$B$76,0),26),"")</f>
        <v/>
      </c>
      <c r="BA203" s="2" t="str">
        <f t="shared" si="10"/>
        <v/>
      </c>
    </row>
    <row r="204" spans="1:53" x14ac:dyDescent="0.15">
      <c r="A204" s="26" t="str">
        <f t="shared" si="9"/>
        <v/>
      </c>
      <c r="B204" s="14"/>
      <c r="C204" s="28" t="str">
        <f>IF(TRIM($B204)&lt;&gt;"",INDEX(Config!$B$13:$L$76,MATCH($B204,Config!$B$13:$B$76,0),2),"")</f>
        <v/>
      </c>
      <c r="D204" s="74"/>
      <c r="E204" s="14"/>
      <c r="F204" s="14"/>
      <c r="G204" s="14"/>
      <c r="H204" s="14"/>
      <c r="Z204" s="2" t="str">
        <f>IF($B204&lt;&gt;"",INDEX(Config!$B$13:$AZ$76,MATCH($B204,Config!$B$13:$B$76,0),26),"")</f>
        <v/>
      </c>
      <c r="BA204" s="2" t="str">
        <f t="shared" si="10"/>
        <v/>
      </c>
    </row>
    <row r="205" spans="1:53" x14ac:dyDescent="0.15">
      <c r="A205" s="26" t="str">
        <f t="shared" si="9"/>
        <v/>
      </c>
      <c r="B205" s="14"/>
      <c r="C205" s="28" t="str">
        <f>IF(TRIM($B205)&lt;&gt;"",INDEX(Config!$B$13:$L$76,MATCH($B205,Config!$B$13:$B$76,0),2),"")</f>
        <v/>
      </c>
      <c r="D205" s="74"/>
      <c r="E205" s="14"/>
      <c r="F205" s="14"/>
      <c r="G205" s="14"/>
      <c r="H205" s="14"/>
      <c r="Z205" s="2" t="str">
        <f>IF($B205&lt;&gt;"",INDEX(Config!$B$13:$AZ$76,MATCH($B205,Config!$B$13:$B$76,0),26),"")</f>
        <v/>
      </c>
      <c r="BA205" s="2" t="str">
        <f t="shared" si="10"/>
        <v/>
      </c>
    </row>
    <row r="206" spans="1:53" x14ac:dyDescent="0.15">
      <c r="A206" s="26" t="str">
        <f t="shared" si="9"/>
        <v/>
      </c>
      <c r="B206" s="14"/>
      <c r="C206" s="28" t="str">
        <f>IF(TRIM($B206)&lt;&gt;"",INDEX(Config!$B$13:$L$76,MATCH($B206,Config!$B$13:$B$76,0),2),"")</f>
        <v/>
      </c>
      <c r="D206" s="74"/>
      <c r="E206" s="14"/>
      <c r="F206" s="14"/>
      <c r="G206" s="14"/>
      <c r="H206" s="14"/>
      <c r="Z206" s="2" t="str">
        <f>IF($B206&lt;&gt;"",INDEX(Config!$B$13:$AZ$76,MATCH($B206,Config!$B$13:$B$76,0),26),"")</f>
        <v/>
      </c>
      <c r="BA206" s="2" t="str">
        <f t="shared" si="10"/>
        <v/>
      </c>
    </row>
    <row r="207" spans="1:53" x14ac:dyDescent="0.15">
      <c r="A207" s="26" t="str">
        <f t="shared" si="9"/>
        <v/>
      </c>
      <c r="B207" s="14"/>
      <c r="C207" s="28" t="str">
        <f>IF(TRIM($B207)&lt;&gt;"",INDEX(Config!$B$13:$L$76,MATCH($B207,Config!$B$13:$B$76,0),2),"")</f>
        <v/>
      </c>
      <c r="D207" s="74"/>
      <c r="E207" s="14"/>
      <c r="F207" s="14"/>
      <c r="G207" s="14"/>
      <c r="H207" s="14"/>
      <c r="Z207" s="2" t="str">
        <f>IF($B207&lt;&gt;"",INDEX(Config!$B$13:$AZ$76,MATCH($B207,Config!$B$13:$B$76,0),26),"")</f>
        <v/>
      </c>
      <c r="BA207" s="2" t="str">
        <f t="shared" si="10"/>
        <v/>
      </c>
    </row>
    <row r="208" spans="1:53" x14ac:dyDescent="0.15">
      <c r="A208" s="26" t="str">
        <f t="shared" si="9"/>
        <v/>
      </c>
      <c r="B208" s="14"/>
      <c r="C208" s="28" t="str">
        <f>IF(TRIM($B208)&lt;&gt;"",INDEX(Config!$B$13:$L$76,MATCH($B208,Config!$B$13:$B$76,0),2),"")</f>
        <v/>
      </c>
      <c r="D208" s="74"/>
      <c r="E208" s="14"/>
      <c r="F208" s="14"/>
      <c r="G208" s="14"/>
      <c r="H208" s="14"/>
      <c r="Z208" s="2" t="str">
        <f>IF($B208&lt;&gt;"",INDEX(Config!$B$13:$AZ$76,MATCH($B208,Config!$B$13:$B$76,0),26),"")</f>
        <v/>
      </c>
      <c r="BA208" s="2" t="str">
        <f t="shared" si="10"/>
        <v/>
      </c>
    </row>
    <row r="209" spans="1:53" x14ac:dyDescent="0.15">
      <c r="A209" s="26" t="str">
        <f t="shared" si="9"/>
        <v/>
      </c>
      <c r="B209" s="14"/>
      <c r="C209" s="28" t="str">
        <f>IF(TRIM($B209)&lt;&gt;"",INDEX(Config!$B$13:$L$76,MATCH($B209,Config!$B$13:$B$76,0),2),"")</f>
        <v/>
      </c>
      <c r="D209" s="74"/>
      <c r="E209" s="14"/>
      <c r="F209" s="14"/>
      <c r="G209" s="14"/>
      <c r="H209" s="14"/>
      <c r="Z209" s="2" t="str">
        <f>IF($B209&lt;&gt;"",INDEX(Config!$B$13:$AZ$76,MATCH($B209,Config!$B$13:$B$76,0),26),"")</f>
        <v/>
      </c>
      <c r="BA209" s="2" t="str">
        <f t="shared" si="10"/>
        <v/>
      </c>
    </row>
    <row r="210" spans="1:53" x14ac:dyDescent="0.15">
      <c r="A210" s="26" t="str">
        <f t="shared" si="9"/>
        <v/>
      </c>
      <c r="B210" s="14"/>
      <c r="C210" s="28" t="str">
        <f>IF(TRIM($B210)&lt;&gt;"",INDEX(Config!$B$13:$L$76,MATCH($B210,Config!$B$13:$B$76,0),2),"")</f>
        <v/>
      </c>
      <c r="D210" s="74"/>
      <c r="E210" s="14"/>
      <c r="F210" s="14"/>
      <c r="G210" s="14"/>
      <c r="H210" s="14"/>
      <c r="Z210" s="2" t="str">
        <f>IF($B210&lt;&gt;"",INDEX(Config!$B$13:$AZ$76,MATCH($B210,Config!$B$13:$B$76,0),26),"")</f>
        <v/>
      </c>
      <c r="BA210" s="2" t="str">
        <f t="shared" si="10"/>
        <v/>
      </c>
    </row>
    <row r="211" spans="1:53" x14ac:dyDescent="0.15">
      <c r="A211" s="26" t="str">
        <f t="shared" si="9"/>
        <v/>
      </c>
      <c r="B211" s="14"/>
      <c r="C211" s="28" t="str">
        <f>IF(TRIM($B211)&lt;&gt;"",INDEX(Config!$B$13:$L$76,MATCH($B211,Config!$B$13:$B$76,0),2),"")</f>
        <v/>
      </c>
      <c r="D211" s="74"/>
      <c r="E211" s="14"/>
      <c r="F211" s="14"/>
      <c r="G211" s="14"/>
      <c r="H211" s="14"/>
      <c r="Z211" s="2" t="str">
        <f>IF($B211&lt;&gt;"",INDEX(Config!$B$13:$AZ$76,MATCH($B211,Config!$B$13:$B$76,0),26),"")</f>
        <v/>
      </c>
      <c r="BA211" s="2" t="str">
        <f t="shared" si="10"/>
        <v/>
      </c>
    </row>
    <row r="212" spans="1:53" x14ac:dyDescent="0.15">
      <c r="A212" s="26" t="str">
        <f t="shared" si="9"/>
        <v/>
      </c>
      <c r="B212" s="14"/>
      <c r="C212" s="28" t="str">
        <f>IF(TRIM($B212)&lt;&gt;"",INDEX(Config!$B$13:$L$76,MATCH($B212,Config!$B$13:$B$76,0),2),"")</f>
        <v/>
      </c>
      <c r="D212" s="74"/>
      <c r="E212" s="14"/>
      <c r="F212" s="14"/>
      <c r="G212" s="14"/>
      <c r="H212" s="14"/>
      <c r="Z212" s="2" t="str">
        <f>IF($B212&lt;&gt;"",INDEX(Config!$B$13:$AZ$76,MATCH($B212,Config!$B$13:$B$76,0),26),"")</f>
        <v/>
      </c>
      <c r="BA212" s="2" t="str">
        <f t="shared" si="10"/>
        <v/>
      </c>
    </row>
    <row r="213" spans="1:53" x14ac:dyDescent="0.15">
      <c r="A213" s="26" t="str">
        <f t="shared" si="9"/>
        <v/>
      </c>
      <c r="B213" s="14"/>
      <c r="C213" s="28" t="str">
        <f>IF(TRIM($B213)&lt;&gt;"",INDEX(Config!$B$13:$L$76,MATCH($B213,Config!$B$13:$B$76,0),2),"")</f>
        <v/>
      </c>
      <c r="D213" s="74"/>
      <c r="E213" s="14"/>
      <c r="F213" s="14"/>
      <c r="G213" s="14"/>
      <c r="H213" s="14"/>
      <c r="Z213" s="2" t="str">
        <f>IF($B213&lt;&gt;"",INDEX(Config!$B$13:$AZ$76,MATCH($B213,Config!$B$13:$B$76,0),26),"")</f>
        <v/>
      </c>
      <c r="BA213" s="2" t="str">
        <f t="shared" si="10"/>
        <v/>
      </c>
    </row>
    <row r="214" spans="1:53" x14ac:dyDescent="0.15">
      <c r="A214" s="26" t="str">
        <f t="shared" si="9"/>
        <v/>
      </c>
      <c r="B214" s="14"/>
      <c r="C214" s="28" t="str">
        <f>IF(TRIM($B214)&lt;&gt;"",INDEX(Config!$B$13:$L$76,MATCH($B214,Config!$B$13:$B$76,0),2),"")</f>
        <v/>
      </c>
      <c r="D214" s="74"/>
      <c r="E214" s="14"/>
      <c r="F214" s="14"/>
      <c r="G214" s="14"/>
      <c r="H214" s="14"/>
      <c r="Z214" s="2" t="str">
        <f>IF($B214&lt;&gt;"",INDEX(Config!$B$13:$AZ$76,MATCH($B214,Config!$B$13:$B$76,0),26),"")</f>
        <v/>
      </c>
      <c r="BA214" s="2" t="str">
        <f t="shared" si="10"/>
        <v/>
      </c>
    </row>
    <row r="215" spans="1:53" x14ac:dyDescent="0.15">
      <c r="A215" s="26" t="str">
        <f t="shared" si="9"/>
        <v/>
      </c>
      <c r="B215" s="14"/>
      <c r="C215" s="28" t="str">
        <f>IF(TRIM($B215)&lt;&gt;"",INDEX(Config!$B$13:$L$76,MATCH($B215,Config!$B$13:$B$76,0),2),"")</f>
        <v/>
      </c>
      <c r="D215" s="74"/>
      <c r="E215" s="14"/>
      <c r="F215" s="14"/>
      <c r="G215" s="14"/>
      <c r="H215" s="14"/>
      <c r="Z215" s="2" t="str">
        <f>IF($B215&lt;&gt;"",INDEX(Config!$B$13:$AZ$76,MATCH($B215,Config!$B$13:$B$76,0),26),"")</f>
        <v/>
      </c>
      <c r="BA215" s="2" t="str">
        <f t="shared" si="10"/>
        <v/>
      </c>
    </row>
    <row r="216" spans="1:53" x14ac:dyDescent="0.15">
      <c r="A216" s="26" t="str">
        <f t="shared" si="9"/>
        <v/>
      </c>
      <c r="B216" s="14"/>
      <c r="C216" s="28" t="str">
        <f>IF(TRIM($B216)&lt;&gt;"",INDEX(Config!$B$13:$L$76,MATCH($B216,Config!$B$13:$B$76,0),2),"")</f>
        <v/>
      </c>
      <c r="D216" s="74"/>
      <c r="E216" s="14"/>
      <c r="F216" s="14"/>
      <c r="G216" s="14"/>
      <c r="H216" s="14"/>
      <c r="Z216" s="2" t="str">
        <f>IF($B216&lt;&gt;"",INDEX(Config!$B$13:$AZ$76,MATCH($B216,Config!$B$13:$B$76,0),26),"")</f>
        <v/>
      </c>
      <c r="BA216" s="2" t="str">
        <f t="shared" si="10"/>
        <v/>
      </c>
    </row>
    <row r="217" spans="1:53" x14ac:dyDescent="0.15">
      <c r="A217" s="26" t="str">
        <f t="shared" si="9"/>
        <v/>
      </c>
      <c r="B217" s="14"/>
      <c r="C217" s="28" t="str">
        <f>IF(TRIM($B217)&lt;&gt;"",INDEX(Config!$B$13:$L$76,MATCH($B217,Config!$B$13:$B$76,0),2),"")</f>
        <v/>
      </c>
      <c r="D217" s="74"/>
      <c r="E217" s="14"/>
      <c r="F217" s="14"/>
      <c r="G217" s="14"/>
      <c r="H217" s="14"/>
      <c r="Z217" s="2" t="str">
        <f>IF($B217&lt;&gt;"",INDEX(Config!$B$13:$AZ$76,MATCH($B217,Config!$B$13:$B$76,0),26),"")</f>
        <v/>
      </c>
      <c r="BA217" s="2" t="str">
        <f t="shared" si="10"/>
        <v/>
      </c>
    </row>
    <row r="218" spans="1:53" x14ac:dyDescent="0.15">
      <c r="A218" s="26" t="str">
        <f t="shared" si="9"/>
        <v/>
      </c>
      <c r="B218" s="14"/>
      <c r="C218" s="28" t="str">
        <f>IF(TRIM($B218)&lt;&gt;"",INDEX(Config!$B$13:$L$76,MATCH($B218,Config!$B$13:$B$76,0),2),"")</f>
        <v/>
      </c>
      <c r="D218" s="74"/>
      <c r="E218" s="14"/>
      <c r="F218" s="14"/>
      <c r="G218" s="14"/>
      <c r="H218" s="14"/>
      <c r="Z218" s="2" t="str">
        <f>IF($B218&lt;&gt;"",INDEX(Config!$B$13:$AZ$76,MATCH($B218,Config!$B$13:$B$76,0),26),"")</f>
        <v/>
      </c>
      <c r="BA218" s="2" t="str">
        <f t="shared" si="10"/>
        <v/>
      </c>
    </row>
    <row r="219" spans="1:53" x14ac:dyDescent="0.15">
      <c r="A219" s="26" t="str">
        <f t="shared" si="9"/>
        <v/>
      </c>
      <c r="B219" s="14"/>
      <c r="C219" s="28" t="str">
        <f>IF(TRIM($B219)&lt;&gt;"",INDEX(Config!$B$13:$L$76,MATCH($B219,Config!$B$13:$B$76,0),2),"")</f>
        <v/>
      </c>
      <c r="D219" s="74"/>
      <c r="E219" s="14"/>
      <c r="F219" s="14"/>
      <c r="G219" s="14"/>
      <c r="H219" s="14"/>
      <c r="Z219" s="2" t="str">
        <f>IF($B219&lt;&gt;"",INDEX(Config!$B$13:$AZ$76,MATCH($B219,Config!$B$13:$B$76,0),26),"")</f>
        <v/>
      </c>
      <c r="BA219" s="2" t="str">
        <f t="shared" si="10"/>
        <v/>
      </c>
    </row>
    <row r="220" spans="1:53" x14ac:dyDescent="0.15">
      <c r="A220" s="26" t="str">
        <f t="shared" si="9"/>
        <v/>
      </c>
      <c r="B220" s="14"/>
      <c r="C220" s="28" t="str">
        <f>IF(TRIM($B220)&lt;&gt;"",INDEX(Config!$B$13:$L$76,MATCH($B220,Config!$B$13:$B$76,0),2),"")</f>
        <v/>
      </c>
      <c r="D220" s="74"/>
      <c r="E220" s="14"/>
      <c r="F220" s="14"/>
      <c r="G220" s="14"/>
      <c r="H220" s="14"/>
      <c r="Z220" s="2" t="str">
        <f>IF($B220&lt;&gt;"",INDEX(Config!$B$13:$AZ$76,MATCH($B220,Config!$B$13:$B$76,0),26),"")</f>
        <v/>
      </c>
      <c r="BA220" s="2" t="str">
        <f t="shared" si="10"/>
        <v/>
      </c>
    </row>
    <row r="221" spans="1:53" x14ac:dyDescent="0.15">
      <c r="A221" s="26" t="str">
        <f t="shared" si="9"/>
        <v/>
      </c>
      <c r="B221" s="14"/>
      <c r="C221" s="28" t="str">
        <f>IF(TRIM($B221)&lt;&gt;"",INDEX(Config!$B$13:$L$76,MATCH($B221,Config!$B$13:$B$76,0),2),"")</f>
        <v/>
      </c>
      <c r="D221" s="74"/>
      <c r="E221" s="14"/>
      <c r="F221" s="14"/>
      <c r="G221" s="14"/>
      <c r="H221" s="14"/>
      <c r="Z221" s="2" t="str">
        <f>IF($B221&lt;&gt;"",INDEX(Config!$B$13:$AZ$76,MATCH($B221,Config!$B$13:$B$76,0),26),"")</f>
        <v/>
      </c>
      <c r="BA221" s="2" t="str">
        <f t="shared" si="10"/>
        <v/>
      </c>
    </row>
    <row r="222" spans="1:53" x14ac:dyDescent="0.15">
      <c r="A222" s="26" t="str">
        <f t="shared" si="9"/>
        <v/>
      </c>
      <c r="B222" s="14"/>
      <c r="C222" s="28" t="str">
        <f>IF(TRIM($B222)&lt;&gt;"",INDEX(Config!$B$13:$L$76,MATCH($B222,Config!$B$13:$B$76,0),2),"")</f>
        <v/>
      </c>
      <c r="D222" s="74"/>
      <c r="E222" s="14"/>
      <c r="F222" s="14"/>
      <c r="G222" s="14"/>
      <c r="H222" s="14"/>
      <c r="Z222" s="2" t="str">
        <f>IF($B222&lt;&gt;"",INDEX(Config!$B$13:$AZ$76,MATCH($B222,Config!$B$13:$B$76,0),26),"")</f>
        <v/>
      </c>
      <c r="BA222" s="2" t="str">
        <f t="shared" si="10"/>
        <v/>
      </c>
    </row>
    <row r="223" spans="1:53" x14ac:dyDescent="0.15">
      <c r="A223" s="26" t="str">
        <f t="shared" si="9"/>
        <v/>
      </c>
      <c r="B223" s="14"/>
      <c r="C223" s="28" t="str">
        <f>IF(TRIM($B223)&lt;&gt;"",INDEX(Config!$B$13:$L$76,MATCH($B223,Config!$B$13:$B$76,0),2),"")</f>
        <v/>
      </c>
      <c r="D223" s="74"/>
      <c r="E223" s="14"/>
      <c r="F223" s="14"/>
      <c r="G223" s="14"/>
      <c r="H223" s="14"/>
      <c r="Z223" s="2" t="str">
        <f>IF($B223&lt;&gt;"",INDEX(Config!$B$13:$AZ$76,MATCH($B223,Config!$B$13:$B$76,0),26),"")</f>
        <v/>
      </c>
      <c r="BA223" s="2" t="str">
        <f t="shared" si="10"/>
        <v/>
      </c>
    </row>
    <row r="224" spans="1:53" x14ac:dyDescent="0.15">
      <c r="A224" s="26" t="str">
        <f t="shared" si="9"/>
        <v/>
      </c>
      <c r="B224" s="14"/>
      <c r="C224" s="28" t="str">
        <f>IF(TRIM($B224)&lt;&gt;"",INDEX(Config!$B$13:$L$76,MATCH($B224,Config!$B$13:$B$76,0),2),"")</f>
        <v/>
      </c>
      <c r="D224" s="74"/>
      <c r="E224" s="14"/>
      <c r="F224" s="14"/>
      <c r="G224" s="14"/>
      <c r="H224" s="14"/>
      <c r="Z224" s="2" t="str">
        <f>IF($B224&lt;&gt;"",INDEX(Config!$B$13:$AZ$76,MATCH($B224,Config!$B$13:$B$76,0),26),"")</f>
        <v/>
      </c>
      <c r="BA224" s="2" t="str">
        <f t="shared" si="10"/>
        <v/>
      </c>
    </row>
    <row r="225" spans="1:53" x14ac:dyDescent="0.15">
      <c r="A225" s="26" t="str">
        <f t="shared" si="9"/>
        <v/>
      </c>
      <c r="B225" s="14"/>
      <c r="C225" s="28" t="str">
        <f>IF(TRIM($B225)&lt;&gt;"",INDEX(Config!$B$13:$L$76,MATCH($B225,Config!$B$13:$B$76,0),2),"")</f>
        <v/>
      </c>
      <c r="D225" s="74"/>
      <c r="E225" s="14"/>
      <c r="F225" s="14"/>
      <c r="G225" s="14"/>
      <c r="H225" s="14"/>
      <c r="Z225" s="2" t="str">
        <f>IF($B225&lt;&gt;"",INDEX(Config!$B$13:$AZ$76,MATCH($B225,Config!$B$13:$B$76,0),26),"")</f>
        <v/>
      </c>
      <c r="BA225" s="2" t="str">
        <f t="shared" si="10"/>
        <v/>
      </c>
    </row>
    <row r="226" spans="1:53" x14ac:dyDescent="0.15">
      <c r="A226" s="26" t="str">
        <f t="shared" si="9"/>
        <v/>
      </c>
      <c r="B226" s="14"/>
      <c r="C226" s="28" t="str">
        <f>IF(TRIM($B226)&lt;&gt;"",INDEX(Config!$B$13:$L$76,MATCH($B226,Config!$B$13:$B$76,0),2),"")</f>
        <v/>
      </c>
      <c r="D226" s="74"/>
      <c r="E226" s="14"/>
      <c r="F226" s="14"/>
      <c r="G226" s="14"/>
      <c r="H226" s="14"/>
      <c r="Z226" s="2" t="str">
        <f>IF($B226&lt;&gt;"",INDEX(Config!$B$13:$AZ$76,MATCH($B226,Config!$B$13:$B$76,0),26),"")</f>
        <v/>
      </c>
      <c r="BA226" s="2" t="str">
        <f t="shared" si="10"/>
        <v/>
      </c>
    </row>
    <row r="227" spans="1:53" x14ac:dyDescent="0.15">
      <c r="A227" s="26" t="str">
        <f t="shared" si="9"/>
        <v/>
      </c>
      <c r="B227" s="14"/>
      <c r="C227" s="28" t="str">
        <f>IF(TRIM($B227)&lt;&gt;"",INDEX(Config!$B$13:$L$76,MATCH($B227,Config!$B$13:$B$76,0),2),"")</f>
        <v/>
      </c>
      <c r="D227" s="74"/>
      <c r="E227" s="14"/>
      <c r="F227" s="14"/>
      <c r="G227" s="14"/>
      <c r="H227" s="14"/>
      <c r="Z227" s="2" t="str">
        <f>IF($B227&lt;&gt;"",INDEX(Config!$B$13:$AZ$76,MATCH($B227,Config!$B$13:$B$76,0),26),"")</f>
        <v/>
      </c>
      <c r="BA227" s="2" t="str">
        <f t="shared" si="10"/>
        <v/>
      </c>
    </row>
    <row r="228" spans="1:53" x14ac:dyDescent="0.15">
      <c r="A228" s="26" t="str">
        <f t="shared" si="9"/>
        <v/>
      </c>
      <c r="B228" s="14"/>
      <c r="C228" s="28" t="str">
        <f>IF(TRIM($B228)&lt;&gt;"",INDEX(Config!$B$13:$L$76,MATCH($B228,Config!$B$13:$B$76,0),2),"")</f>
        <v/>
      </c>
      <c r="D228" s="74"/>
      <c r="E228" s="14"/>
      <c r="F228" s="14"/>
      <c r="G228" s="14"/>
      <c r="H228" s="14"/>
      <c r="Z228" s="2" t="str">
        <f>IF($B228&lt;&gt;"",INDEX(Config!$B$13:$AZ$76,MATCH($B228,Config!$B$13:$B$76,0),26),"")</f>
        <v/>
      </c>
      <c r="BA228" s="2" t="str">
        <f t="shared" si="10"/>
        <v/>
      </c>
    </row>
    <row r="229" spans="1:53" x14ac:dyDescent="0.15">
      <c r="A229" s="26" t="str">
        <f t="shared" si="9"/>
        <v/>
      </c>
      <c r="B229" s="14"/>
      <c r="C229" s="28" t="str">
        <f>IF(TRIM($B229)&lt;&gt;"",INDEX(Config!$B$13:$L$76,MATCH($B229,Config!$B$13:$B$76,0),2),"")</f>
        <v/>
      </c>
      <c r="D229" s="74"/>
      <c r="E229" s="14"/>
      <c r="F229" s="14"/>
      <c r="G229" s="14"/>
      <c r="H229" s="14"/>
      <c r="Z229" s="2" t="str">
        <f>IF($B229&lt;&gt;"",INDEX(Config!$B$13:$AZ$76,MATCH($B229,Config!$B$13:$B$76,0),26),"")</f>
        <v/>
      </c>
      <c r="BA229" s="2" t="str">
        <f t="shared" si="10"/>
        <v/>
      </c>
    </row>
    <row r="230" spans="1:53" x14ac:dyDescent="0.15">
      <c r="A230" s="26" t="str">
        <f t="shared" si="9"/>
        <v/>
      </c>
      <c r="B230" s="14"/>
      <c r="C230" s="28" t="str">
        <f>IF(TRIM($B230)&lt;&gt;"",INDEX(Config!$B$13:$L$76,MATCH($B230,Config!$B$13:$B$76,0),2),"")</f>
        <v/>
      </c>
      <c r="D230" s="74"/>
      <c r="E230" s="14"/>
      <c r="F230" s="14"/>
      <c r="G230" s="14"/>
      <c r="H230" s="14"/>
      <c r="Z230" s="2" t="str">
        <f>IF($B230&lt;&gt;"",INDEX(Config!$B$13:$AZ$76,MATCH($B230,Config!$B$13:$B$76,0),26),"")</f>
        <v/>
      </c>
      <c r="BA230" s="2" t="str">
        <f t="shared" si="10"/>
        <v/>
      </c>
    </row>
    <row r="231" spans="1:53" x14ac:dyDescent="0.15">
      <c r="A231" s="26" t="str">
        <f t="shared" si="9"/>
        <v/>
      </c>
      <c r="B231" s="14"/>
      <c r="C231" s="28" t="str">
        <f>IF(TRIM($B231)&lt;&gt;"",INDEX(Config!$B$13:$L$76,MATCH($B231,Config!$B$13:$B$76,0),2),"")</f>
        <v/>
      </c>
      <c r="D231" s="74"/>
      <c r="E231" s="14"/>
      <c r="F231" s="14"/>
      <c r="G231" s="14"/>
      <c r="H231" s="14"/>
      <c r="Z231" s="2" t="str">
        <f>IF($B231&lt;&gt;"",INDEX(Config!$B$13:$AZ$76,MATCH($B231,Config!$B$13:$B$76,0),26),"")</f>
        <v/>
      </c>
      <c r="BA231" s="2" t="str">
        <f t="shared" si="10"/>
        <v/>
      </c>
    </row>
    <row r="232" spans="1:53" x14ac:dyDescent="0.15">
      <c r="A232" s="26" t="str">
        <f t="shared" si="9"/>
        <v/>
      </c>
      <c r="B232" s="14"/>
      <c r="C232" s="28" t="str">
        <f>IF(TRIM($B232)&lt;&gt;"",INDEX(Config!$B$13:$L$76,MATCH($B232,Config!$B$13:$B$76,0),2),"")</f>
        <v/>
      </c>
      <c r="D232" s="74"/>
      <c r="E232" s="14"/>
      <c r="F232" s="14"/>
      <c r="G232" s="14"/>
      <c r="H232" s="14"/>
      <c r="Z232" s="2" t="str">
        <f>IF($B232&lt;&gt;"",INDEX(Config!$B$13:$AZ$76,MATCH($B232,Config!$B$13:$B$76,0),26),"")</f>
        <v/>
      </c>
      <c r="BA232" s="2" t="str">
        <f t="shared" si="10"/>
        <v/>
      </c>
    </row>
    <row r="233" spans="1:53" x14ac:dyDescent="0.15">
      <c r="A233" s="26" t="str">
        <f t="shared" si="9"/>
        <v/>
      </c>
      <c r="B233" s="14"/>
      <c r="C233" s="28" t="str">
        <f>IF(TRIM($B233)&lt;&gt;"",INDEX(Config!$B$13:$L$76,MATCH($B233,Config!$B$13:$B$76,0),2),"")</f>
        <v/>
      </c>
      <c r="D233" s="74"/>
      <c r="E233" s="14"/>
      <c r="F233" s="14"/>
      <c r="G233" s="14"/>
      <c r="H233" s="14"/>
      <c r="Z233" s="2" t="str">
        <f>IF($B233&lt;&gt;"",INDEX(Config!$B$13:$AZ$76,MATCH($B233,Config!$B$13:$B$76,0),26),"")</f>
        <v/>
      </c>
      <c r="BA233" s="2" t="str">
        <f t="shared" si="10"/>
        <v/>
      </c>
    </row>
    <row r="234" spans="1:53" x14ac:dyDescent="0.15">
      <c r="A234" s="26" t="str">
        <f t="shared" si="9"/>
        <v/>
      </c>
      <c r="B234" s="14"/>
      <c r="C234" s="28" t="str">
        <f>IF(TRIM($B234)&lt;&gt;"",INDEX(Config!$B$13:$L$76,MATCH($B234,Config!$B$13:$B$76,0),2),"")</f>
        <v/>
      </c>
      <c r="D234" s="74"/>
      <c r="E234" s="14"/>
      <c r="F234" s="14"/>
      <c r="G234" s="14"/>
      <c r="H234" s="14"/>
      <c r="Z234" s="2" t="str">
        <f>IF($B234&lt;&gt;"",INDEX(Config!$B$13:$AZ$76,MATCH($B234,Config!$B$13:$B$76,0),26),"")</f>
        <v/>
      </c>
      <c r="BA234" s="2" t="str">
        <f t="shared" si="10"/>
        <v/>
      </c>
    </row>
    <row r="235" spans="1:53" x14ac:dyDescent="0.15">
      <c r="A235" s="26" t="str">
        <f t="shared" si="9"/>
        <v/>
      </c>
      <c r="B235" s="14"/>
      <c r="C235" s="28" t="str">
        <f>IF(TRIM($B235)&lt;&gt;"",INDEX(Config!$B$13:$L$76,MATCH($B235,Config!$B$13:$B$76,0),2),"")</f>
        <v/>
      </c>
      <c r="D235" s="74"/>
      <c r="E235" s="14"/>
      <c r="F235" s="14"/>
      <c r="G235" s="14"/>
      <c r="H235" s="14"/>
      <c r="Z235" s="2" t="str">
        <f>IF($B235&lt;&gt;"",INDEX(Config!$B$13:$AZ$76,MATCH($B235,Config!$B$13:$B$76,0),26),"")</f>
        <v/>
      </c>
      <c r="BA235" s="2" t="str">
        <f t="shared" si="10"/>
        <v/>
      </c>
    </row>
    <row r="236" spans="1:53" x14ac:dyDescent="0.15">
      <c r="A236" s="26" t="str">
        <f t="shared" si="9"/>
        <v/>
      </c>
      <c r="B236" s="14"/>
      <c r="C236" s="28" t="str">
        <f>IF(TRIM($B236)&lt;&gt;"",INDEX(Config!$B$13:$L$76,MATCH($B236,Config!$B$13:$B$76,0),2),"")</f>
        <v/>
      </c>
      <c r="D236" s="74"/>
      <c r="E236" s="14"/>
      <c r="F236" s="14"/>
      <c r="G236" s="14"/>
      <c r="H236" s="14"/>
      <c r="Z236" s="2" t="str">
        <f>IF($B236&lt;&gt;"",INDEX(Config!$B$13:$AZ$76,MATCH($B236,Config!$B$13:$B$76,0),26),"")</f>
        <v/>
      </c>
      <c r="BA236" s="2" t="str">
        <f t="shared" si="10"/>
        <v/>
      </c>
    </row>
    <row r="237" spans="1:53" x14ac:dyDescent="0.15">
      <c r="A237" s="26" t="str">
        <f t="shared" si="9"/>
        <v/>
      </c>
      <c r="B237" s="14"/>
      <c r="C237" s="28" t="str">
        <f>IF(TRIM($B237)&lt;&gt;"",INDEX(Config!$B$13:$L$76,MATCH($B237,Config!$B$13:$B$76,0),2),"")</f>
        <v/>
      </c>
      <c r="D237" s="74"/>
      <c r="E237" s="14"/>
      <c r="F237" s="14"/>
      <c r="G237" s="14"/>
      <c r="H237" s="14"/>
      <c r="Z237" s="2" t="str">
        <f>IF($B237&lt;&gt;"",INDEX(Config!$B$13:$AZ$76,MATCH($B237,Config!$B$13:$B$76,0),26),"")</f>
        <v/>
      </c>
      <c r="BA237" s="2" t="str">
        <f t="shared" si="10"/>
        <v/>
      </c>
    </row>
    <row r="238" spans="1:53" x14ac:dyDescent="0.15">
      <c r="A238" s="26" t="str">
        <f t="shared" si="9"/>
        <v/>
      </c>
      <c r="B238" s="14"/>
      <c r="C238" s="28" t="str">
        <f>IF(TRIM($B238)&lt;&gt;"",INDEX(Config!$B$13:$L$76,MATCH($B238,Config!$B$13:$B$76,0),2),"")</f>
        <v/>
      </c>
      <c r="D238" s="74"/>
      <c r="E238" s="14"/>
      <c r="F238" s="14"/>
      <c r="G238" s="14"/>
      <c r="H238" s="14"/>
      <c r="Z238" s="2" t="str">
        <f>IF($B238&lt;&gt;"",INDEX(Config!$B$13:$AZ$76,MATCH($B238,Config!$B$13:$B$76,0),26),"")</f>
        <v/>
      </c>
      <c r="BA238" s="2" t="str">
        <f t="shared" si="10"/>
        <v/>
      </c>
    </row>
    <row r="239" spans="1:53" x14ac:dyDescent="0.15">
      <c r="A239" s="26" t="str">
        <f t="shared" si="9"/>
        <v/>
      </c>
      <c r="B239" s="14"/>
      <c r="C239" s="28" t="str">
        <f>IF(TRIM($B239)&lt;&gt;"",INDEX(Config!$B$13:$L$76,MATCH($B239,Config!$B$13:$B$76,0),2),"")</f>
        <v/>
      </c>
      <c r="D239" s="74"/>
      <c r="E239" s="14"/>
      <c r="F239" s="14"/>
      <c r="G239" s="14"/>
      <c r="H239" s="14"/>
      <c r="Z239" s="2" t="str">
        <f>IF($B239&lt;&gt;"",INDEX(Config!$B$13:$AZ$76,MATCH($B239,Config!$B$13:$B$76,0),26),"")</f>
        <v/>
      </c>
      <c r="BA239" s="2" t="str">
        <f t="shared" si="10"/>
        <v/>
      </c>
    </row>
    <row r="240" spans="1:53" x14ac:dyDescent="0.15">
      <c r="A240" s="26" t="str">
        <f t="shared" si="9"/>
        <v/>
      </c>
      <c r="B240" s="14"/>
      <c r="C240" s="28" t="str">
        <f>IF(TRIM($B240)&lt;&gt;"",INDEX(Config!$B$13:$L$76,MATCH($B240,Config!$B$13:$B$76,0),2),"")</f>
        <v/>
      </c>
      <c r="D240" s="74"/>
      <c r="E240" s="14"/>
      <c r="F240" s="14"/>
      <c r="G240" s="14"/>
      <c r="H240" s="14"/>
      <c r="Z240" s="2" t="str">
        <f>IF($B240&lt;&gt;"",INDEX(Config!$B$13:$AZ$76,MATCH($B240,Config!$B$13:$B$76,0),26),"")</f>
        <v/>
      </c>
      <c r="BA240" s="2" t="str">
        <f t="shared" si="10"/>
        <v/>
      </c>
    </row>
    <row r="241" spans="1:53" x14ac:dyDescent="0.15">
      <c r="A241" s="26" t="str">
        <f t="shared" si="9"/>
        <v/>
      </c>
      <c r="B241" s="14"/>
      <c r="C241" s="28" t="str">
        <f>IF(TRIM($B241)&lt;&gt;"",INDEX(Config!$B$13:$L$76,MATCH($B241,Config!$B$13:$B$76,0),2),"")</f>
        <v/>
      </c>
      <c r="D241" s="74"/>
      <c r="E241" s="14"/>
      <c r="F241" s="14"/>
      <c r="G241" s="14"/>
      <c r="H241" s="14"/>
      <c r="Z241" s="2" t="str">
        <f>IF($B241&lt;&gt;"",INDEX(Config!$B$13:$AZ$76,MATCH($B241,Config!$B$13:$B$76,0),26),"")</f>
        <v/>
      </c>
      <c r="BA241" s="2" t="str">
        <f t="shared" si="10"/>
        <v/>
      </c>
    </row>
    <row r="242" spans="1:53" x14ac:dyDescent="0.15">
      <c r="A242" s="26" t="str">
        <f t="shared" si="9"/>
        <v/>
      </c>
      <c r="B242" s="14"/>
      <c r="C242" s="28" t="str">
        <f>IF(TRIM($B242)&lt;&gt;"",INDEX(Config!$B$13:$L$76,MATCH($B242,Config!$B$13:$B$76,0),2),"")</f>
        <v/>
      </c>
      <c r="D242" s="74"/>
      <c r="E242" s="14"/>
      <c r="F242" s="14"/>
      <c r="G242" s="14"/>
      <c r="H242" s="14"/>
      <c r="Z242" s="2" t="str">
        <f>IF($B242&lt;&gt;"",INDEX(Config!$B$13:$AZ$76,MATCH($B242,Config!$B$13:$B$76,0),26),"")</f>
        <v/>
      </c>
      <c r="BA242" s="2" t="str">
        <f t="shared" si="10"/>
        <v/>
      </c>
    </row>
    <row r="243" spans="1:53" x14ac:dyDescent="0.15">
      <c r="A243" s="26" t="str">
        <f t="shared" si="9"/>
        <v/>
      </c>
      <c r="B243" s="14"/>
      <c r="C243" s="28" t="str">
        <f>IF(TRIM($B243)&lt;&gt;"",INDEX(Config!$B$13:$L$76,MATCH($B243,Config!$B$13:$B$76,0),2),"")</f>
        <v/>
      </c>
      <c r="D243" s="74"/>
      <c r="E243" s="14"/>
      <c r="F243" s="14"/>
      <c r="G243" s="14"/>
      <c r="H243" s="14"/>
      <c r="Z243" s="2" t="str">
        <f>IF($B243&lt;&gt;"",INDEX(Config!$B$13:$AZ$76,MATCH($B243,Config!$B$13:$B$76,0),26),"")</f>
        <v/>
      </c>
      <c r="BA243" s="2" t="str">
        <f t="shared" si="10"/>
        <v/>
      </c>
    </row>
    <row r="244" spans="1:53" x14ac:dyDescent="0.15">
      <c r="A244" s="26" t="str">
        <f t="shared" si="9"/>
        <v/>
      </c>
      <c r="B244" s="14"/>
      <c r="C244" s="28" t="str">
        <f>IF(TRIM($B244)&lt;&gt;"",INDEX(Config!$B$13:$L$76,MATCH($B244,Config!$B$13:$B$76,0),2),"")</f>
        <v/>
      </c>
      <c r="D244" s="74"/>
      <c r="E244" s="14"/>
      <c r="F244" s="14"/>
      <c r="G244" s="14"/>
      <c r="H244" s="14"/>
      <c r="Z244" s="2" t="str">
        <f>IF($B244&lt;&gt;"",INDEX(Config!$B$13:$AZ$76,MATCH($B244,Config!$B$13:$B$76,0),26),"")</f>
        <v/>
      </c>
      <c r="BA244" s="2" t="str">
        <f t="shared" si="10"/>
        <v/>
      </c>
    </row>
    <row r="245" spans="1:53" x14ac:dyDescent="0.15">
      <c r="A245" s="26" t="str">
        <f t="shared" si="9"/>
        <v/>
      </c>
      <c r="B245" s="14"/>
      <c r="C245" s="28" t="str">
        <f>IF(TRIM($B245)&lt;&gt;"",INDEX(Config!$B$13:$L$76,MATCH($B245,Config!$B$13:$B$76,0),2),"")</f>
        <v/>
      </c>
      <c r="D245" s="74"/>
      <c r="E245" s="14"/>
      <c r="F245" s="14"/>
      <c r="G245" s="14"/>
      <c r="H245" s="14"/>
      <c r="Z245" s="2" t="str">
        <f>IF($B245&lt;&gt;"",INDEX(Config!$B$13:$AZ$76,MATCH($B245,Config!$B$13:$B$76,0),26),"")</f>
        <v/>
      </c>
      <c r="BA245" s="2" t="str">
        <f t="shared" si="10"/>
        <v/>
      </c>
    </row>
    <row r="246" spans="1:53" x14ac:dyDescent="0.15">
      <c r="A246" s="26" t="str">
        <f t="shared" si="9"/>
        <v/>
      </c>
      <c r="B246" s="14"/>
      <c r="C246" s="28" t="str">
        <f>IF(TRIM($B246)&lt;&gt;"",INDEX(Config!$B$13:$L$76,MATCH($B246,Config!$B$13:$B$76,0),2),"")</f>
        <v/>
      </c>
      <c r="D246" s="74"/>
      <c r="E246" s="14"/>
      <c r="F246" s="14"/>
      <c r="G246" s="14"/>
      <c r="H246" s="14"/>
      <c r="Z246" s="2" t="str">
        <f>IF($B246&lt;&gt;"",INDEX(Config!$B$13:$AZ$76,MATCH($B246,Config!$B$13:$B$76,0),26),"")</f>
        <v/>
      </c>
      <c r="BA246" s="2" t="str">
        <f t="shared" si="10"/>
        <v/>
      </c>
    </row>
    <row r="247" spans="1:53" x14ac:dyDescent="0.15">
      <c r="A247" s="26" t="str">
        <f t="shared" si="9"/>
        <v/>
      </c>
      <c r="B247" s="14"/>
      <c r="C247" s="28" t="str">
        <f>IF(TRIM($B247)&lt;&gt;"",INDEX(Config!$B$13:$L$76,MATCH($B247,Config!$B$13:$B$76,0),2),"")</f>
        <v/>
      </c>
      <c r="D247" s="74"/>
      <c r="E247" s="14"/>
      <c r="F247" s="14"/>
      <c r="G247" s="14"/>
      <c r="H247" s="14"/>
      <c r="Z247" s="2" t="str">
        <f>IF($B247&lt;&gt;"",INDEX(Config!$B$13:$AZ$76,MATCH($B247,Config!$B$13:$B$76,0),26),"")</f>
        <v/>
      </c>
      <c r="BA247" s="2" t="str">
        <f t="shared" si="10"/>
        <v/>
      </c>
    </row>
    <row r="248" spans="1:53" x14ac:dyDescent="0.15">
      <c r="A248" s="26" t="str">
        <f t="shared" si="9"/>
        <v/>
      </c>
      <c r="B248" s="14"/>
      <c r="C248" s="28" t="str">
        <f>IF(TRIM($B248)&lt;&gt;"",INDEX(Config!$B$13:$L$76,MATCH($B248,Config!$B$13:$B$76,0),2),"")</f>
        <v/>
      </c>
      <c r="D248" s="74"/>
      <c r="E248" s="14"/>
      <c r="F248" s="14"/>
      <c r="G248" s="14"/>
      <c r="H248" s="14"/>
      <c r="Z248" s="2" t="str">
        <f>IF($B248&lt;&gt;"",INDEX(Config!$B$13:$AZ$76,MATCH($B248,Config!$B$13:$B$76,0),26),"")</f>
        <v/>
      </c>
      <c r="BA248" s="2" t="str">
        <f t="shared" si="10"/>
        <v/>
      </c>
    </row>
    <row r="249" spans="1:53" x14ac:dyDescent="0.15">
      <c r="A249" s="26" t="str">
        <f t="shared" si="9"/>
        <v/>
      </c>
      <c r="B249" s="14"/>
      <c r="C249" s="28" t="str">
        <f>IF(TRIM($B249)&lt;&gt;"",INDEX(Config!$B$13:$L$76,MATCH($B249,Config!$B$13:$B$76,0),2),"")</f>
        <v/>
      </c>
      <c r="D249" s="74"/>
      <c r="E249" s="14"/>
      <c r="F249" s="14"/>
      <c r="G249" s="14"/>
      <c r="H249" s="14"/>
      <c r="Z249" s="2" t="str">
        <f>IF($B249&lt;&gt;"",INDEX(Config!$B$13:$AZ$76,MATCH($B249,Config!$B$13:$B$76,0),26),"")</f>
        <v/>
      </c>
      <c r="BA249" s="2" t="str">
        <f t="shared" si="10"/>
        <v/>
      </c>
    </row>
    <row r="250" spans="1:53" x14ac:dyDescent="0.15">
      <c r="A250" s="26" t="str">
        <f t="shared" si="9"/>
        <v/>
      </c>
      <c r="B250" s="14"/>
      <c r="C250" s="28" t="str">
        <f>IF(TRIM($B250)&lt;&gt;"",INDEX(Config!$B$13:$L$76,MATCH($B250,Config!$B$13:$B$76,0),2),"")</f>
        <v/>
      </c>
      <c r="D250" s="74"/>
      <c r="E250" s="14"/>
      <c r="F250" s="14"/>
      <c r="G250" s="14"/>
      <c r="H250" s="14"/>
      <c r="Z250" s="2" t="str">
        <f>IF($B250&lt;&gt;"",INDEX(Config!$B$13:$AZ$76,MATCH($B250,Config!$B$13:$B$76,0),26),"")</f>
        <v/>
      </c>
      <c r="BA250" s="2" t="str">
        <f t="shared" si="10"/>
        <v/>
      </c>
    </row>
    <row r="251" spans="1:53" x14ac:dyDescent="0.15">
      <c r="A251" s="26" t="str">
        <f t="shared" si="9"/>
        <v/>
      </c>
      <c r="B251" s="14"/>
      <c r="C251" s="28" t="str">
        <f>IF(TRIM($B251)&lt;&gt;"",INDEX(Config!$B$13:$L$76,MATCH($B251,Config!$B$13:$B$76,0),2),"")</f>
        <v/>
      </c>
      <c r="D251" s="74"/>
      <c r="E251" s="14"/>
      <c r="F251" s="14"/>
      <c r="G251" s="14"/>
      <c r="H251" s="14"/>
      <c r="Z251" s="2" t="str">
        <f>IF($B251&lt;&gt;"",INDEX(Config!$B$13:$AZ$76,MATCH($B251,Config!$B$13:$B$76,0),26),"")</f>
        <v/>
      </c>
      <c r="BA251" s="2" t="str">
        <f t="shared" si="10"/>
        <v/>
      </c>
    </row>
    <row r="252" spans="1:53" x14ac:dyDescent="0.15">
      <c r="A252" s="26" t="str">
        <f t="shared" si="9"/>
        <v/>
      </c>
      <c r="B252" s="14"/>
      <c r="C252" s="28" t="str">
        <f>IF(TRIM($B252)&lt;&gt;"",INDEX(Config!$B$13:$L$76,MATCH($B252,Config!$B$13:$B$76,0),2),"")</f>
        <v/>
      </c>
      <c r="D252" s="74"/>
      <c r="E252" s="14"/>
      <c r="F252" s="14"/>
      <c r="G252" s="14"/>
      <c r="H252" s="14"/>
      <c r="Z252" s="2" t="str">
        <f>IF($B252&lt;&gt;"",INDEX(Config!$B$13:$AZ$76,MATCH($B252,Config!$B$13:$B$76,0),26),"")</f>
        <v/>
      </c>
      <c r="BA252" s="2" t="str">
        <f t="shared" si="10"/>
        <v/>
      </c>
    </row>
    <row r="253" spans="1:53" x14ac:dyDescent="0.15">
      <c r="A253" s="26" t="str">
        <f t="shared" si="9"/>
        <v/>
      </c>
      <c r="B253" s="14"/>
      <c r="C253" s="28" t="str">
        <f>IF(TRIM($B253)&lt;&gt;"",INDEX(Config!$B$13:$L$76,MATCH($B253,Config!$B$13:$B$76,0),2),"")</f>
        <v/>
      </c>
      <c r="D253" s="74"/>
      <c r="E253" s="14"/>
      <c r="F253" s="14"/>
      <c r="G253" s="14"/>
      <c r="H253" s="14"/>
      <c r="Z253" s="2" t="str">
        <f>IF($B253&lt;&gt;"",INDEX(Config!$B$13:$AZ$76,MATCH($B253,Config!$B$13:$B$76,0),26),"")</f>
        <v/>
      </c>
      <c r="BA253" s="2" t="str">
        <f t="shared" si="10"/>
        <v/>
      </c>
    </row>
    <row r="254" spans="1:53" x14ac:dyDescent="0.15">
      <c r="A254" s="26" t="str">
        <f t="shared" si="9"/>
        <v/>
      </c>
      <c r="B254" s="14"/>
      <c r="C254" s="28" t="str">
        <f>IF(TRIM($B254)&lt;&gt;"",INDEX(Config!$B$13:$L$76,MATCH($B254,Config!$B$13:$B$76,0),2),"")</f>
        <v/>
      </c>
      <c r="D254" s="74"/>
      <c r="E254" s="14"/>
      <c r="F254" s="14"/>
      <c r="G254" s="14"/>
      <c r="H254" s="14"/>
      <c r="Z254" s="2" t="str">
        <f>IF($B254&lt;&gt;"",INDEX(Config!$B$13:$AZ$76,MATCH($B254,Config!$B$13:$B$76,0),26),"")</f>
        <v/>
      </c>
      <c r="BA254" s="2" t="str">
        <f t="shared" si="10"/>
        <v/>
      </c>
    </row>
    <row r="255" spans="1:53" x14ac:dyDescent="0.15">
      <c r="A255" s="26" t="str">
        <f t="shared" si="9"/>
        <v/>
      </c>
      <c r="B255" s="14"/>
      <c r="C255" s="28" t="str">
        <f>IF(TRIM($B255)&lt;&gt;"",INDEX(Config!$B$13:$L$76,MATCH($B255,Config!$B$13:$B$76,0),2),"")</f>
        <v/>
      </c>
      <c r="D255" s="74"/>
      <c r="E255" s="14"/>
      <c r="F255" s="14"/>
      <c r="G255" s="14"/>
      <c r="H255" s="14"/>
      <c r="Z255" s="2" t="str">
        <f>IF($B255&lt;&gt;"",INDEX(Config!$B$13:$AZ$76,MATCH($B255,Config!$B$13:$B$76,0),26),"")</f>
        <v/>
      </c>
      <c r="BA255" s="2" t="str">
        <f t="shared" si="10"/>
        <v/>
      </c>
    </row>
    <row r="256" spans="1:53" x14ac:dyDescent="0.15">
      <c r="A256" s="26" t="str">
        <f t="shared" si="9"/>
        <v/>
      </c>
      <c r="B256" s="14"/>
      <c r="C256" s="28" t="str">
        <f>IF(TRIM($B256)&lt;&gt;"",INDEX(Config!$B$13:$L$76,MATCH($B256,Config!$B$13:$B$76,0),2),"")</f>
        <v/>
      </c>
      <c r="D256" s="74"/>
      <c r="E256" s="14"/>
      <c r="F256" s="14"/>
      <c r="G256" s="14"/>
      <c r="H256" s="14"/>
      <c r="Z256" s="2" t="str">
        <f>IF($B256&lt;&gt;"",INDEX(Config!$B$13:$AZ$76,MATCH($B256,Config!$B$13:$B$76,0),26),"")</f>
        <v/>
      </c>
      <c r="BA256" s="2" t="str">
        <f t="shared" si="10"/>
        <v/>
      </c>
    </row>
    <row r="257" spans="1:53" x14ac:dyDescent="0.15">
      <c r="A257" s="26" t="str">
        <f t="shared" si="9"/>
        <v/>
      </c>
      <c r="B257" s="14"/>
      <c r="C257" s="28" t="str">
        <f>IF(TRIM($B257)&lt;&gt;"",INDEX(Config!$B$13:$L$76,MATCH($B257,Config!$B$13:$B$76,0),2),"")</f>
        <v/>
      </c>
      <c r="D257" s="74"/>
      <c r="E257" s="14"/>
      <c r="F257" s="14"/>
      <c r="G257" s="14"/>
      <c r="H257" s="14"/>
      <c r="Z257" s="2" t="str">
        <f>IF($B257&lt;&gt;"",INDEX(Config!$B$13:$AZ$76,MATCH($B257,Config!$B$13:$B$76,0),26),"")</f>
        <v/>
      </c>
      <c r="BA257" s="2" t="str">
        <f t="shared" si="10"/>
        <v/>
      </c>
    </row>
    <row r="258" spans="1:53" x14ac:dyDescent="0.15">
      <c r="A258" s="26" t="str">
        <f t="shared" si="9"/>
        <v/>
      </c>
      <c r="B258" s="14"/>
      <c r="C258" s="28" t="str">
        <f>IF(TRIM($B258)&lt;&gt;"",INDEX(Config!$B$13:$L$76,MATCH($B258,Config!$B$13:$B$76,0),2),"")</f>
        <v/>
      </c>
      <c r="D258" s="74"/>
      <c r="E258" s="14"/>
      <c r="F258" s="14"/>
      <c r="G258" s="14"/>
      <c r="H258" s="14"/>
      <c r="Z258" s="2" t="str">
        <f>IF($B258&lt;&gt;"",INDEX(Config!$B$13:$AZ$76,MATCH($B258,Config!$B$13:$B$76,0),26),"")</f>
        <v/>
      </c>
      <c r="BA258" s="2" t="str">
        <f t="shared" si="10"/>
        <v/>
      </c>
    </row>
    <row r="259" spans="1:53" x14ac:dyDescent="0.15">
      <c r="A259" s="26" t="str">
        <f t="shared" si="9"/>
        <v/>
      </c>
      <c r="B259" s="14"/>
      <c r="C259" s="28" t="str">
        <f>IF(TRIM($B259)&lt;&gt;"",INDEX(Config!$B$13:$L$76,MATCH($B259,Config!$B$13:$B$76,0),2),"")</f>
        <v/>
      </c>
      <c r="D259" s="74"/>
      <c r="E259" s="14"/>
      <c r="F259" s="14"/>
      <c r="G259" s="14"/>
      <c r="H259" s="14"/>
      <c r="Z259" s="2" t="str">
        <f>IF($B259&lt;&gt;"",INDEX(Config!$B$13:$AZ$76,MATCH($B259,Config!$B$13:$B$76,0),26),"")</f>
        <v/>
      </c>
      <c r="BA259" s="2" t="str">
        <f t="shared" si="10"/>
        <v/>
      </c>
    </row>
    <row r="260" spans="1:53" x14ac:dyDescent="0.15">
      <c r="A260" s="26" t="str">
        <f t="shared" si="9"/>
        <v/>
      </c>
      <c r="B260" s="14"/>
      <c r="C260" s="28" t="str">
        <f>IF(TRIM($B260)&lt;&gt;"",INDEX(Config!$B$13:$L$76,MATCH($B260,Config!$B$13:$B$76,0),2),"")</f>
        <v/>
      </c>
      <c r="D260" s="74"/>
      <c r="E260" s="14"/>
      <c r="F260" s="14"/>
      <c r="G260" s="14"/>
      <c r="H260" s="14"/>
      <c r="Z260" s="2" t="str">
        <f>IF($B260&lt;&gt;"",INDEX(Config!$B$13:$AZ$76,MATCH($B260,Config!$B$13:$B$76,0),26),"")</f>
        <v/>
      </c>
      <c r="BA260" s="2" t="str">
        <f t="shared" si="10"/>
        <v/>
      </c>
    </row>
    <row r="261" spans="1:53" x14ac:dyDescent="0.15">
      <c r="A261" s="26" t="str">
        <f t="shared" si="9"/>
        <v/>
      </c>
      <c r="B261" s="14"/>
      <c r="C261" s="28" t="str">
        <f>IF(TRIM($B261)&lt;&gt;"",INDEX(Config!$B$13:$L$76,MATCH($B261,Config!$B$13:$B$76,0),2),"")</f>
        <v/>
      </c>
      <c r="D261" s="74"/>
      <c r="E261" s="14"/>
      <c r="F261" s="14"/>
      <c r="G261" s="14"/>
      <c r="H261" s="14"/>
      <c r="Z261" s="2" t="str">
        <f>IF($B261&lt;&gt;"",INDEX(Config!$B$13:$AZ$76,MATCH($B261,Config!$B$13:$B$76,0),26),"")</f>
        <v/>
      </c>
      <c r="BA261" s="2" t="str">
        <f t="shared" si="10"/>
        <v/>
      </c>
    </row>
    <row r="262" spans="1:53" x14ac:dyDescent="0.15">
      <c r="A262" s="26" t="str">
        <f t="shared" si="9"/>
        <v/>
      </c>
      <c r="B262" s="14"/>
      <c r="C262" s="28" t="str">
        <f>IF(TRIM($B262)&lt;&gt;"",INDEX(Config!$B$13:$L$76,MATCH($B262,Config!$B$13:$B$76,0),2),"")</f>
        <v/>
      </c>
      <c r="D262" s="74"/>
      <c r="E262" s="14"/>
      <c r="F262" s="14"/>
      <c r="G262" s="14"/>
      <c r="H262" s="14"/>
      <c r="Z262" s="2" t="str">
        <f>IF($B262&lt;&gt;"",INDEX(Config!$B$13:$AZ$76,MATCH($B262,Config!$B$13:$B$76,0),26),"")</f>
        <v/>
      </c>
      <c r="BA262" s="2" t="str">
        <f t="shared" si="10"/>
        <v/>
      </c>
    </row>
    <row r="263" spans="1:53" x14ac:dyDescent="0.15">
      <c r="A263" s="26" t="str">
        <f t="shared" si="9"/>
        <v/>
      </c>
      <c r="B263" s="14"/>
      <c r="C263" s="28" t="str">
        <f>IF(TRIM($B263)&lt;&gt;"",INDEX(Config!$B$13:$L$76,MATCH($B263,Config!$B$13:$B$76,0),2),"")</f>
        <v/>
      </c>
      <c r="D263" s="74"/>
      <c r="E263" s="14"/>
      <c r="F263" s="14"/>
      <c r="G263" s="14"/>
      <c r="H263" s="14"/>
      <c r="Z263" s="2" t="str">
        <f>IF($B263&lt;&gt;"",INDEX(Config!$B$13:$AZ$76,MATCH($B263,Config!$B$13:$B$76,0),26),"")</f>
        <v/>
      </c>
      <c r="BA263" s="2" t="str">
        <f t="shared" si="10"/>
        <v/>
      </c>
    </row>
    <row r="264" spans="1:53" x14ac:dyDescent="0.15">
      <c r="A264" s="26" t="str">
        <f t="shared" ref="A264:A327" si="11">IF(B264&lt;&gt;"","#"&amp;ROW()-1,"")</f>
        <v/>
      </c>
      <c r="B264" s="14"/>
      <c r="C264" s="28" t="str">
        <f>IF(TRIM($B264)&lt;&gt;"",INDEX(Config!$B$13:$L$76,MATCH($B264,Config!$B$13:$B$76,0),2),"")</f>
        <v/>
      </c>
      <c r="D264" s="74"/>
      <c r="E264" s="14"/>
      <c r="F264" s="14"/>
      <c r="G264" s="14"/>
      <c r="H264" s="14"/>
      <c r="Z264" s="2" t="str">
        <f>IF($B264&lt;&gt;"",INDEX(Config!$B$13:$AZ$76,MATCH($B264,Config!$B$13:$B$76,0),26),"")</f>
        <v/>
      </c>
      <c r="BA264" s="2" t="str">
        <f t="shared" ref="BA264:BA327" si="12">IF($B264&lt;&gt;"",ROW()-1,"")</f>
        <v/>
      </c>
    </row>
    <row r="265" spans="1:53" x14ac:dyDescent="0.15">
      <c r="A265" s="26" t="str">
        <f t="shared" si="11"/>
        <v/>
      </c>
      <c r="B265" s="14"/>
      <c r="C265" s="28" t="str">
        <f>IF(TRIM($B265)&lt;&gt;"",INDEX(Config!$B$13:$L$76,MATCH($B265,Config!$B$13:$B$76,0),2),"")</f>
        <v/>
      </c>
      <c r="D265" s="74"/>
      <c r="E265" s="14"/>
      <c r="F265" s="14"/>
      <c r="G265" s="14"/>
      <c r="H265" s="14"/>
      <c r="Z265" s="2" t="str">
        <f>IF($B265&lt;&gt;"",INDEX(Config!$B$13:$AZ$76,MATCH($B265,Config!$B$13:$B$76,0),26),"")</f>
        <v/>
      </c>
      <c r="BA265" s="2" t="str">
        <f t="shared" si="12"/>
        <v/>
      </c>
    </row>
    <row r="266" spans="1:53" x14ac:dyDescent="0.15">
      <c r="A266" s="26" t="str">
        <f t="shared" si="11"/>
        <v/>
      </c>
      <c r="B266" s="14"/>
      <c r="C266" s="28" t="str">
        <f>IF(TRIM($B266)&lt;&gt;"",INDEX(Config!$B$13:$L$76,MATCH($B266,Config!$B$13:$B$76,0),2),"")</f>
        <v/>
      </c>
      <c r="D266" s="74"/>
      <c r="E266" s="14"/>
      <c r="F266" s="14"/>
      <c r="G266" s="14"/>
      <c r="H266" s="14"/>
      <c r="Z266" s="2" t="str">
        <f>IF($B266&lt;&gt;"",INDEX(Config!$B$13:$AZ$76,MATCH($B266,Config!$B$13:$B$76,0),26),"")</f>
        <v/>
      </c>
      <c r="BA266" s="2" t="str">
        <f t="shared" si="12"/>
        <v/>
      </c>
    </row>
    <row r="267" spans="1:53" x14ac:dyDescent="0.15">
      <c r="A267" s="26" t="str">
        <f t="shared" si="11"/>
        <v/>
      </c>
      <c r="B267" s="14"/>
      <c r="C267" s="28" t="str">
        <f>IF(TRIM($B267)&lt;&gt;"",INDEX(Config!$B$13:$L$76,MATCH($B267,Config!$B$13:$B$76,0),2),"")</f>
        <v/>
      </c>
      <c r="D267" s="74"/>
      <c r="E267" s="14"/>
      <c r="F267" s="14"/>
      <c r="G267" s="14"/>
      <c r="H267" s="14"/>
      <c r="Z267" s="2" t="str">
        <f>IF($B267&lt;&gt;"",INDEX(Config!$B$13:$AZ$76,MATCH($B267,Config!$B$13:$B$76,0),26),"")</f>
        <v/>
      </c>
      <c r="BA267" s="2" t="str">
        <f t="shared" si="12"/>
        <v/>
      </c>
    </row>
    <row r="268" spans="1:53" x14ac:dyDescent="0.15">
      <c r="A268" s="26" t="str">
        <f t="shared" si="11"/>
        <v/>
      </c>
      <c r="B268" s="14"/>
      <c r="C268" s="28" t="str">
        <f>IF(TRIM($B268)&lt;&gt;"",INDEX(Config!$B$13:$L$76,MATCH($B268,Config!$B$13:$B$76,0),2),"")</f>
        <v/>
      </c>
      <c r="D268" s="74"/>
      <c r="E268" s="14"/>
      <c r="F268" s="14"/>
      <c r="G268" s="14"/>
      <c r="H268" s="14"/>
      <c r="Z268" s="2" t="str">
        <f>IF($B268&lt;&gt;"",INDEX(Config!$B$13:$AZ$76,MATCH($B268,Config!$B$13:$B$76,0),26),"")</f>
        <v/>
      </c>
      <c r="BA268" s="2" t="str">
        <f t="shared" si="12"/>
        <v/>
      </c>
    </row>
    <row r="269" spans="1:53" x14ac:dyDescent="0.15">
      <c r="A269" s="26" t="str">
        <f t="shared" si="11"/>
        <v/>
      </c>
      <c r="B269" s="14"/>
      <c r="C269" s="28" t="str">
        <f>IF(TRIM($B269)&lt;&gt;"",INDEX(Config!$B$13:$L$76,MATCH($B269,Config!$B$13:$B$76,0),2),"")</f>
        <v/>
      </c>
      <c r="D269" s="74"/>
      <c r="E269" s="14"/>
      <c r="F269" s="14"/>
      <c r="G269" s="14"/>
      <c r="H269" s="14"/>
      <c r="Z269" s="2" t="str">
        <f>IF($B269&lt;&gt;"",INDEX(Config!$B$13:$AZ$76,MATCH($B269,Config!$B$13:$B$76,0),26),"")</f>
        <v/>
      </c>
      <c r="BA269" s="2" t="str">
        <f t="shared" si="12"/>
        <v/>
      </c>
    </row>
    <row r="270" spans="1:53" x14ac:dyDescent="0.15">
      <c r="A270" s="26" t="str">
        <f t="shared" si="11"/>
        <v/>
      </c>
      <c r="B270" s="14"/>
      <c r="C270" s="28" t="str">
        <f>IF(TRIM($B270)&lt;&gt;"",INDEX(Config!$B$13:$L$76,MATCH($B270,Config!$B$13:$B$76,0),2),"")</f>
        <v/>
      </c>
      <c r="D270" s="74"/>
      <c r="E270" s="14"/>
      <c r="F270" s="14"/>
      <c r="G270" s="14"/>
      <c r="H270" s="14"/>
      <c r="Z270" s="2" t="str">
        <f>IF($B270&lt;&gt;"",INDEX(Config!$B$13:$AZ$76,MATCH($B270,Config!$B$13:$B$76,0),26),"")</f>
        <v/>
      </c>
      <c r="BA270" s="2" t="str">
        <f t="shared" si="12"/>
        <v/>
      </c>
    </row>
    <row r="271" spans="1:53" x14ac:dyDescent="0.15">
      <c r="A271" s="26" t="str">
        <f t="shared" si="11"/>
        <v/>
      </c>
      <c r="B271" s="14"/>
      <c r="C271" s="28" t="str">
        <f>IF(TRIM($B271)&lt;&gt;"",INDEX(Config!$B$13:$L$76,MATCH($B271,Config!$B$13:$B$76,0),2),"")</f>
        <v/>
      </c>
      <c r="D271" s="74"/>
      <c r="E271" s="14"/>
      <c r="F271" s="14"/>
      <c r="G271" s="14"/>
      <c r="H271" s="14"/>
      <c r="Z271" s="2" t="str">
        <f>IF($B271&lt;&gt;"",INDEX(Config!$B$13:$AZ$76,MATCH($B271,Config!$B$13:$B$76,0),26),"")</f>
        <v/>
      </c>
      <c r="BA271" s="2" t="str">
        <f t="shared" si="12"/>
        <v/>
      </c>
    </row>
    <row r="272" spans="1:53" x14ac:dyDescent="0.15">
      <c r="A272" s="26" t="str">
        <f t="shared" si="11"/>
        <v/>
      </c>
      <c r="B272" s="14"/>
      <c r="C272" s="28" t="str">
        <f>IF(TRIM($B272)&lt;&gt;"",INDEX(Config!$B$13:$L$76,MATCH($B272,Config!$B$13:$B$76,0),2),"")</f>
        <v/>
      </c>
      <c r="D272" s="74"/>
      <c r="E272" s="14"/>
      <c r="F272" s="14"/>
      <c r="G272" s="14"/>
      <c r="H272" s="14"/>
      <c r="Z272" s="2" t="str">
        <f>IF($B272&lt;&gt;"",INDEX(Config!$B$13:$AZ$76,MATCH($B272,Config!$B$13:$B$76,0),26),"")</f>
        <v/>
      </c>
      <c r="BA272" s="2" t="str">
        <f t="shared" si="12"/>
        <v/>
      </c>
    </row>
    <row r="273" spans="1:53" x14ac:dyDescent="0.15">
      <c r="A273" s="26" t="str">
        <f t="shared" si="11"/>
        <v/>
      </c>
      <c r="B273" s="14"/>
      <c r="C273" s="28" t="str">
        <f>IF(TRIM($B273)&lt;&gt;"",INDEX(Config!$B$13:$L$76,MATCH($B273,Config!$B$13:$B$76,0),2),"")</f>
        <v/>
      </c>
      <c r="D273" s="74"/>
      <c r="E273" s="14"/>
      <c r="F273" s="14"/>
      <c r="G273" s="14"/>
      <c r="H273" s="14"/>
      <c r="Z273" s="2" t="str">
        <f>IF($B273&lt;&gt;"",INDEX(Config!$B$13:$AZ$76,MATCH($B273,Config!$B$13:$B$76,0),26),"")</f>
        <v/>
      </c>
      <c r="BA273" s="2" t="str">
        <f t="shared" si="12"/>
        <v/>
      </c>
    </row>
    <row r="274" spans="1:53" x14ac:dyDescent="0.15">
      <c r="A274" s="26" t="str">
        <f t="shared" si="11"/>
        <v/>
      </c>
      <c r="B274" s="14"/>
      <c r="C274" s="28" t="str">
        <f>IF(TRIM($B274)&lt;&gt;"",INDEX(Config!$B$13:$L$76,MATCH($B274,Config!$B$13:$B$76,0),2),"")</f>
        <v/>
      </c>
      <c r="D274" s="74"/>
      <c r="E274" s="14"/>
      <c r="F274" s="14"/>
      <c r="G274" s="14"/>
      <c r="H274" s="14"/>
      <c r="Z274" s="2" t="str">
        <f>IF($B274&lt;&gt;"",INDEX(Config!$B$13:$AZ$76,MATCH($B274,Config!$B$13:$B$76,0),26),"")</f>
        <v/>
      </c>
      <c r="BA274" s="2" t="str">
        <f t="shared" si="12"/>
        <v/>
      </c>
    </row>
    <row r="275" spans="1:53" x14ac:dyDescent="0.15">
      <c r="A275" s="26" t="str">
        <f t="shared" si="11"/>
        <v/>
      </c>
      <c r="B275" s="14"/>
      <c r="C275" s="28" t="str">
        <f>IF(TRIM($B275)&lt;&gt;"",INDEX(Config!$B$13:$L$76,MATCH($B275,Config!$B$13:$B$76,0),2),"")</f>
        <v/>
      </c>
      <c r="D275" s="74"/>
      <c r="E275" s="14"/>
      <c r="F275" s="14"/>
      <c r="G275" s="14"/>
      <c r="H275" s="14"/>
      <c r="Z275" s="2" t="str">
        <f>IF($B275&lt;&gt;"",INDEX(Config!$B$13:$AZ$76,MATCH($B275,Config!$B$13:$B$76,0),26),"")</f>
        <v/>
      </c>
      <c r="BA275" s="2" t="str">
        <f t="shared" si="12"/>
        <v/>
      </c>
    </row>
    <row r="276" spans="1:53" x14ac:dyDescent="0.15">
      <c r="A276" s="26" t="str">
        <f t="shared" si="11"/>
        <v/>
      </c>
      <c r="B276" s="14"/>
      <c r="C276" s="28" t="str">
        <f>IF(TRIM($B276)&lt;&gt;"",INDEX(Config!$B$13:$L$76,MATCH($B276,Config!$B$13:$B$76,0),2),"")</f>
        <v/>
      </c>
      <c r="D276" s="74"/>
      <c r="E276" s="14"/>
      <c r="F276" s="14"/>
      <c r="G276" s="14"/>
      <c r="H276" s="14"/>
      <c r="Z276" s="2" t="str">
        <f>IF($B276&lt;&gt;"",INDEX(Config!$B$13:$AZ$76,MATCH($B276,Config!$B$13:$B$76,0),26),"")</f>
        <v/>
      </c>
      <c r="BA276" s="2" t="str">
        <f t="shared" si="12"/>
        <v/>
      </c>
    </row>
    <row r="277" spans="1:53" x14ac:dyDescent="0.15">
      <c r="A277" s="26" t="str">
        <f t="shared" si="11"/>
        <v/>
      </c>
      <c r="B277" s="14"/>
      <c r="C277" s="28" t="str">
        <f>IF(TRIM($B277)&lt;&gt;"",INDEX(Config!$B$13:$L$76,MATCH($B277,Config!$B$13:$B$76,0),2),"")</f>
        <v/>
      </c>
      <c r="D277" s="74"/>
      <c r="E277" s="14"/>
      <c r="F277" s="14"/>
      <c r="G277" s="14"/>
      <c r="H277" s="14"/>
      <c r="Z277" s="2" t="str">
        <f>IF($B277&lt;&gt;"",INDEX(Config!$B$13:$AZ$76,MATCH($B277,Config!$B$13:$B$76,0),26),"")</f>
        <v/>
      </c>
      <c r="BA277" s="2" t="str">
        <f t="shared" si="12"/>
        <v/>
      </c>
    </row>
    <row r="278" spans="1:53" x14ac:dyDescent="0.15">
      <c r="A278" s="26" t="str">
        <f t="shared" si="11"/>
        <v/>
      </c>
      <c r="B278" s="14"/>
      <c r="C278" s="28" t="str">
        <f>IF(TRIM($B278)&lt;&gt;"",INDEX(Config!$B$13:$L$76,MATCH($B278,Config!$B$13:$B$76,0),2),"")</f>
        <v/>
      </c>
      <c r="D278" s="74"/>
      <c r="E278" s="14"/>
      <c r="F278" s="14"/>
      <c r="G278" s="14"/>
      <c r="H278" s="14"/>
      <c r="Z278" s="2" t="str">
        <f>IF($B278&lt;&gt;"",INDEX(Config!$B$13:$AZ$76,MATCH($B278,Config!$B$13:$B$76,0),26),"")</f>
        <v/>
      </c>
      <c r="BA278" s="2" t="str">
        <f t="shared" si="12"/>
        <v/>
      </c>
    </row>
    <row r="279" spans="1:53" x14ac:dyDescent="0.15">
      <c r="A279" s="26" t="str">
        <f t="shared" si="11"/>
        <v/>
      </c>
      <c r="B279" s="14"/>
      <c r="C279" s="28" t="str">
        <f>IF(TRIM($B279)&lt;&gt;"",INDEX(Config!$B$13:$L$76,MATCH($B279,Config!$B$13:$B$76,0),2),"")</f>
        <v/>
      </c>
      <c r="D279" s="74"/>
      <c r="E279" s="14"/>
      <c r="F279" s="14"/>
      <c r="G279" s="14"/>
      <c r="H279" s="14"/>
      <c r="Z279" s="2" t="str">
        <f>IF($B279&lt;&gt;"",INDEX(Config!$B$13:$AZ$76,MATCH($B279,Config!$B$13:$B$76,0),26),"")</f>
        <v/>
      </c>
      <c r="BA279" s="2" t="str">
        <f t="shared" si="12"/>
        <v/>
      </c>
    </row>
    <row r="280" spans="1:53" x14ac:dyDescent="0.15">
      <c r="A280" s="26" t="str">
        <f t="shared" si="11"/>
        <v/>
      </c>
      <c r="B280" s="14"/>
      <c r="C280" s="28" t="str">
        <f>IF(TRIM($B280)&lt;&gt;"",INDEX(Config!$B$13:$L$76,MATCH($B280,Config!$B$13:$B$76,0),2),"")</f>
        <v/>
      </c>
      <c r="D280" s="74"/>
      <c r="E280" s="14"/>
      <c r="F280" s="14"/>
      <c r="G280" s="14"/>
      <c r="H280" s="14"/>
      <c r="Z280" s="2" t="str">
        <f>IF($B280&lt;&gt;"",INDEX(Config!$B$13:$AZ$76,MATCH($B280,Config!$B$13:$B$76,0),26),"")</f>
        <v/>
      </c>
      <c r="BA280" s="2" t="str">
        <f t="shared" si="12"/>
        <v/>
      </c>
    </row>
    <row r="281" spans="1:53" x14ac:dyDescent="0.15">
      <c r="A281" s="26" t="str">
        <f t="shared" si="11"/>
        <v/>
      </c>
      <c r="B281" s="14"/>
      <c r="C281" s="28" t="str">
        <f>IF(TRIM($B281)&lt;&gt;"",INDEX(Config!$B$13:$L$76,MATCH($B281,Config!$B$13:$B$76,0),2),"")</f>
        <v/>
      </c>
      <c r="D281" s="74"/>
      <c r="E281" s="14"/>
      <c r="F281" s="14"/>
      <c r="G281" s="14"/>
      <c r="H281" s="14"/>
      <c r="Z281" s="2" t="str">
        <f>IF($B281&lt;&gt;"",INDEX(Config!$B$13:$AZ$76,MATCH($B281,Config!$B$13:$B$76,0),26),"")</f>
        <v/>
      </c>
      <c r="BA281" s="2" t="str">
        <f t="shared" si="12"/>
        <v/>
      </c>
    </row>
    <row r="282" spans="1:53" x14ac:dyDescent="0.15">
      <c r="A282" s="26" t="str">
        <f t="shared" si="11"/>
        <v/>
      </c>
      <c r="B282" s="14"/>
      <c r="C282" s="28" t="str">
        <f>IF(TRIM($B282)&lt;&gt;"",INDEX(Config!$B$13:$L$76,MATCH($B282,Config!$B$13:$B$76,0),2),"")</f>
        <v/>
      </c>
      <c r="D282" s="74"/>
      <c r="E282" s="14"/>
      <c r="F282" s="14"/>
      <c r="G282" s="14"/>
      <c r="H282" s="14"/>
      <c r="Z282" s="2" t="str">
        <f>IF($B282&lt;&gt;"",INDEX(Config!$B$13:$AZ$76,MATCH($B282,Config!$B$13:$B$76,0),26),"")</f>
        <v/>
      </c>
      <c r="BA282" s="2" t="str">
        <f t="shared" si="12"/>
        <v/>
      </c>
    </row>
    <row r="283" spans="1:53" x14ac:dyDescent="0.15">
      <c r="A283" s="26" t="str">
        <f t="shared" si="11"/>
        <v/>
      </c>
      <c r="B283" s="14"/>
      <c r="C283" s="28" t="str">
        <f>IF(TRIM($B283)&lt;&gt;"",INDEX(Config!$B$13:$L$76,MATCH($B283,Config!$B$13:$B$76,0),2),"")</f>
        <v/>
      </c>
      <c r="D283" s="74"/>
      <c r="E283" s="14"/>
      <c r="F283" s="14"/>
      <c r="G283" s="14"/>
      <c r="H283" s="14"/>
      <c r="Z283" s="2" t="str">
        <f>IF($B283&lt;&gt;"",INDEX(Config!$B$13:$AZ$76,MATCH($B283,Config!$B$13:$B$76,0),26),"")</f>
        <v/>
      </c>
      <c r="BA283" s="2" t="str">
        <f t="shared" si="12"/>
        <v/>
      </c>
    </row>
    <row r="284" spans="1:53" x14ac:dyDescent="0.15">
      <c r="A284" s="26" t="str">
        <f t="shared" si="11"/>
        <v/>
      </c>
      <c r="B284" s="14"/>
      <c r="C284" s="28" t="str">
        <f>IF(TRIM($B284)&lt;&gt;"",INDEX(Config!$B$13:$L$76,MATCH($B284,Config!$B$13:$B$76,0),2),"")</f>
        <v/>
      </c>
      <c r="D284" s="74"/>
      <c r="E284" s="14"/>
      <c r="F284" s="14"/>
      <c r="G284" s="14"/>
      <c r="H284" s="14"/>
      <c r="Z284" s="2" t="str">
        <f>IF($B284&lt;&gt;"",INDEX(Config!$B$13:$AZ$76,MATCH($B284,Config!$B$13:$B$76,0),26),"")</f>
        <v/>
      </c>
      <c r="BA284" s="2" t="str">
        <f t="shared" si="12"/>
        <v/>
      </c>
    </row>
    <row r="285" spans="1:53" x14ac:dyDescent="0.15">
      <c r="A285" s="26" t="str">
        <f t="shared" si="11"/>
        <v/>
      </c>
      <c r="B285" s="14"/>
      <c r="C285" s="28" t="str">
        <f>IF(TRIM($B285)&lt;&gt;"",INDEX(Config!$B$13:$L$76,MATCH($B285,Config!$B$13:$B$76,0),2),"")</f>
        <v/>
      </c>
      <c r="D285" s="74"/>
      <c r="E285" s="14"/>
      <c r="F285" s="14"/>
      <c r="G285" s="14"/>
      <c r="H285" s="14"/>
      <c r="Z285" s="2" t="str">
        <f>IF($B285&lt;&gt;"",INDEX(Config!$B$13:$AZ$76,MATCH($B285,Config!$B$13:$B$76,0),26),"")</f>
        <v/>
      </c>
      <c r="BA285" s="2" t="str">
        <f t="shared" si="12"/>
        <v/>
      </c>
    </row>
    <row r="286" spans="1:53" x14ac:dyDescent="0.15">
      <c r="A286" s="26" t="str">
        <f t="shared" si="11"/>
        <v/>
      </c>
      <c r="B286" s="14"/>
      <c r="C286" s="28" t="str">
        <f>IF(TRIM($B286)&lt;&gt;"",INDEX(Config!$B$13:$L$76,MATCH($B286,Config!$B$13:$B$76,0),2),"")</f>
        <v/>
      </c>
      <c r="D286" s="74"/>
      <c r="E286" s="14"/>
      <c r="F286" s="14"/>
      <c r="G286" s="14"/>
      <c r="H286" s="14"/>
      <c r="Z286" s="2" t="str">
        <f>IF($B286&lt;&gt;"",INDEX(Config!$B$13:$AZ$76,MATCH($B286,Config!$B$13:$B$76,0),26),"")</f>
        <v/>
      </c>
      <c r="BA286" s="2" t="str">
        <f t="shared" si="12"/>
        <v/>
      </c>
    </row>
    <row r="287" spans="1:53" x14ac:dyDescent="0.15">
      <c r="A287" s="26" t="str">
        <f t="shared" si="11"/>
        <v/>
      </c>
      <c r="B287" s="14"/>
      <c r="C287" s="28" t="str">
        <f>IF(TRIM($B287)&lt;&gt;"",INDEX(Config!$B$13:$L$76,MATCH($B287,Config!$B$13:$B$76,0),2),"")</f>
        <v/>
      </c>
      <c r="D287" s="74"/>
      <c r="E287" s="14"/>
      <c r="F287" s="14"/>
      <c r="G287" s="14"/>
      <c r="H287" s="14"/>
      <c r="Z287" s="2" t="str">
        <f>IF($B287&lt;&gt;"",INDEX(Config!$B$13:$AZ$76,MATCH($B287,Config!$B$13:$B$76,0),26),"")</f>
        <v/>
      </c>
      <c r="BA287" s="2" t="str">
        <f t="shared" si="12"/>
        <v/>
      </c>
    </row>
    <row r="288" spans="1:53" x14ac:dyDescent="0.15">
      <c r="A288" s="26" t="str">
        <f t="shared" si="11"/>
        <v/>
      </c>
      <c r="B288" s="14"/>
      <c r="C288" s="28" t="str">
        <f>IF(TRIM($B288)&lt;&gt;"",INDEX(Config!$B$13:$L$76,MATCH($B288,Config!$B$13:$B$76,0),2),"")</f>
        <v/>
      </c>
      <c r="D288" s="74"/>
      <c r="E288" s="14"/>
      <c r="F288" s="14"/>
      <c r="G288" s="14"/>
      <c r="H288" s="14"/>
      <c r="Z288" s="2" t="str">
        <f>IF($B288&lt;&gt;"",INDEX(Config!$B$13:$AZ$76,MATCH($B288,Config!$B$13:$B$76,0),26),"")</f>
        <v/>
      </c>
      <c r="BA288" s="2" t="str">
        <f t="shared" si="12"/>
        <v/>
      </c>
    </row>
    <row r="289" spans="1:53" x14ac:dyDescent="0.15">
      <c r="A289" s="26" t="str">
        <f t="shared" si="11"/>
        <v/>
      </c>
      <c r="B289" s="14"/>
      <c r="C289" s="28" t="str">
        <f>IF(TRIM($B289)&lt;&gt;"",INDEX(Config!$B$13:$L$76,MATCH($B289,Config!$B$13:$B$76,0),2),"")</f>
        <v/>
      </c>
      <c r="D289" s="74"/>
      <c r="E289" s="14"/>
      <c r="F289" s="14"/>
      <c r="G289" s="14"/>
      <c r="H289" s="14"/>
      <c r="Z289" s="2" t="str">
        <f>IF($B289&lt;&gt;"",INDEX(Config!$B$13:$AZ$76,MATCH($B289,Config!$B$13:$B$76,0),26),"")</f>
        <v/>
      </c>
      <c r="BA289" s="2" t="str">
        <f t="shared" si="12"/>
        <v/>
      </c>
    </row>
    <row r="290" spans="1:53" x14ac:dyDescent="0.15">
      <c r="A290" s="26" t="str">
        <f t="shared" si="11"/>
        <v/>
      </c>
      <c r="B290" s="14"/>
      <c r="C290" s="28" t="str">
        <f>IF(TRIM($B290)&lt;&gt;"",INDEX(Config!$B$13:$L$76,MATCH($B290,Config!$B$13:$B$76,0),2),"")</f>
        <v/>
      </c>
      <c r="D290" s="74"/>
      <c r="E290" s="14"/>
      <c r="F290" s="14"/>
      <c r="G290" s="14"/>
      <c r="H290" s="14"/>
      <c r="Z290" s="2" t="str">
        <f>IF($B290&lt;&gt;"",INDEX(Config!$B$13:$AZ$76,MATCH($B290,Config!$B$13:$B$76,0),26),"")</f>
        <v/>
      </c>
      <c r="BA290" s="2" t="str">
        <f t="shared" si="12"/>
        <v/>
      </c>
    </row>
    <row r="291" spans="1:53" x14ac:dyDescent="0.15">
      <c r="A291" s="26" t="str">
        <f t="shared" si="11"/>
        <v/>
      </c>
      <c r="B291" s="14"/>
      <c r="C291" s="28" t="str">
        <f>IF(TRIM($B291)&lt;&gt;"",INDEX(Config!$B$13:$L$76,MATCH($B291,Config!$B$13:$B$76,0),2),"")</f>
        <v/>
      </c>
      <c r="D291" s="74"/>
      <c r="E291" s="14"/>
      <c r="F291" s="14"/>
      <c r="G291" s="14"/>
      <c r="H291" s="14"/>
      <c r="Z291" s="2" t="str">
        <f>IF($B291&lt;&gt;"",INDEX(Config!$B$13:$AZ$76,MATCH($B291,Config!$B$13:$B$76,0),26),"")</f>
        <v/>
      </c>
      <c r="BA291" s="2" t="str">
        <f t="shared" si="12"/>
        <v/>
      </c>
    </row>
    <row r="292" spans="1:53" x14ac:dyDescent="0.15">
      <c r="A292" s="26" t="str">
        <f t="shared" si="11"/>
        <v/>
      </c>
      <c r="B292" s="14"/>
      <c r="C292" s="28" t="str">
        <f>IF(TRIM($B292)&lt;&gt;"",INDEX(Config!$B$13:$L$76,MATCH($B292,Config!$B$13:$B$76,0),2),"")</f>
        <v/>
      </c>
      <c r="D292" s="74"/>
      <c r="E292" s="14"/>
      <c r="F292" s="14"/>
      <c r="G292" s="14"/>
      <c r="H292" s="14"/>
      <c r="Z292" s="2" t="str">
        <f>IF($B292&lt;&gt;"",INDEX(Config!$B$13:$AZ$76,MATCH($B292,Config!$B$13:$B$76,0),26),"")</f>
        <v/>
      </c>
      <c r="BA292" s="2" t="str">
        <f t="shared" si="12"/>
        <v/>
      </c>
    </row>
    <row r="293" spans="1:53" x14ac:dyDescent="0.15">
      <c r="A293" s="26" t="str">
        <f t="shared" si="11"/>
        <v/>
      </c>
      <c r="B293" s="14"/>
      <c r="C293" s="28" t="str">
        <f>IF(TRIM($B293)&lt;&gt;"",INDEX(Config!$B$13:$L$76,MATCH($B293,Config!$B$13:$B$76,0),2),"")</f>
        <v/>
      </c>
      <c r="D293" s="74"/>
      <c r="E293" s="14"/>
      <c r="F293" s="14"/>
      <c r="G293" s="14"/>
      <c r="H293" s="14"/>
      <c r="Z293" s="2" t="str">
        <f>IF($B293&lt;&gt;"",INDEX(Config!$B$13:$AZ$76,MATCH($B293,Config!$B$13:$B$76,0),26),"")</f>
        <v/>
      </c>
      <c r="BA293" s="2" t="str">
        <f t="shared" si="12"/>
        <v/>
      </c>
    </row>
    <row r="294" spans="1:53" x14ac:dyDescent="0.15">
      <c r="A294" s="26" t="str">
        <f t="shared" si="11"/>
        <v/>
      </c>
      <c r="B294" s="14"/>
      <c r="C294" s="28" t="str">
        <f>IF(TRIM($B294)&lt;&gt;"",INDEX(Config!$B$13:$L$76,MATCH($B294,Config!$B$13:$B$76,0),2),"")</f>
        <v/>
      </c>
      <c r="D294" s="74"/>
      <c r="E294" s="14"/>
      <c r="F294" s="14"/>
      <c r="G294" s="14"/>
      <c r="H294" s="14"/>
      <c r="Z294" s="2" t="str">
        <f>IF($B294&lt;&gt;"",INDEX(Config!$B$13:$AZ$76,MATCH($B294,Config!$B$13:$B$76,0),26),"")</f>
        <v/>
      </c>
      <c r="BA294" s="2" t="str">
        <f t="shared" si="12"/>
        <v/>
      </c>
    </row>
    <row r="295" spans="1:53" x14ac:dyDescent="0.15">
      <c r="A295" s="26" t="str">
        <f t="shared" si="11"/>
        <v/>
      </c>
      <c r="B295" s="14"/>
      <c r="C295" s="28" t="str">
        <f>IF(TRIM($B295)&lt;&gt;"",INDEX(Config!$B$13:$L$76,MATCH($B295,Config!$B$13:$B$76,0),2),"")</f>
        <v/>
      </c>
      <c r="D295" s="74"/>
      <c r="E295" s="14"/>
      <c r="F295" s="14"/>
      <c r="G295" s="14"/>
      <c r="H295" s="14"/>
      <c r="Z295" s="2" t="str">
        <f>IF($B295&lt;&gt;"",INDEX(Config!$B$13:$AZ$76,MATCH($B295,Config!$B$13:$B$76,0),26),"")</f>
        <v/>
      </c>
      <c r="BA295" s="2" t="str">
        <f t="shared" si="12"/>
        <v/>
      </c>
    </row>
    <row r="296" spans="1:53" x14ac:dyDescent="0.15">
      <c r="A296" s="26" t="str">
        <f t="shared" si="11"/>
        <v/>
      </c>
      <c r="B296" s="14"/>
      <c r="C296" s="28" t="str">
        <f>IF(TRIM($B296)&lt;&gt;"",INDEX(Config!$B$13:$L$76,MATCH($B296,Config!$B$13:$B$76,0),2),"")</f>
        <v/>
      </c>
      <c r="D296" s="74"/>
      <c r="E296" s="14"/>
      <c r="F296" s="14"/>
      <c r="G296" s="14"/>
      <c r="H296" s="14"/>
      <c r="Z296" s="2" t="str">
        <f>IF($B296&lt;&gt;"",INDEX(Config!$B$13:$AZ$76,MATCH($B296,Config!$B$13:$B$76,0),26),"")</f>
        <v/>
      </c>
      <c r="BA296" s="2" t="str">
        <f t="shared" si="12"/>
        <v/>
      </c>
    </row>
    <row r="297" spans="1:53" x14ac:dyDescent="0.15">
      <c r="A297" s="26" t="str">
        <f t="shared" si="11"/>
        <v/>
      </c>
      <c r="B297" s="14"/>
      <c r="C297" s="28" t="str">
        <f>IF(TRIM($B297)&lt;&gt;"",INDEX(Config!$B$13:$L$76,MATCH($B297,Config!$B$13:$B$76,0),2),"")</f>
        <v/>
      </c>
      <c r="D297" s="74"/>
      <c r="E297" s="14"/>
      <c r="F297" s="14"/>
      <c r="G297" s="14"/>
      <c r="H297" s="14"/>
      <c r="Z297" s="2" t="str">
        <f>IF($B297&lt;&gt;"",INDEX(Config!$B$13:$AZ$76,MATCH($B297,Config!$B$13:$B$76,0),26),"")</f>
        <v/>
      </c>
      <c r="BA297" s="2" t="str">
        <f t="shared" si="12"/>
        <v/>
      </c>
    </row>
    <row r="298" spans="1:53" x14ac:dyDescent="0.15">
      <c r="A298" s="26" t="str">
        <f t="shared" si="11"/>
        <v/>
      </c>
      <c r="B298" s="14"/>
      <c r="C298" s="28" t="str">
        <f>IF(TRIM($B298)&lt;&gt;"",INDEX(Config!$B$13:$L$76,MATCH($B298,Config!$B$13:$B$76,0),2),"")</f>
        <v/>
      </c>
      <c r="D298" s="74"/>
      <c r="E298" s="14"/>
      <c r="F298" s="14"/>
      <c r="G298" s="14"/>
      <c r="H298" s="14"/>
      <c r="Z298" s="2" t="str">
        <f>IF($B298&lt;&gt;"",INDEX(Config!$B$13:$AZ$76,MATCH($B298,Config!$B$13:$B$76,0),26),"")</f>
        <v/>
      </c>
      <c r="BA298" s="2" t="str">
        <f t="shared" si="12"/>
        <v/>
      </c>
    </row>
    <row r="299" spans="1:53" x14ac:dyDescent="0.15">
      <c r="A299" s="26" t="str">
        <f t="shared" si="11"/>
        <v/>
      </c>
      <c r="B299" s="14"/>
      <c r="C299" s="28" t="str">
        <f>IF(TRIM($B299)&lt;&gt;"",INDEX(Config!$B$13:$L$76,MATCH($B299,Config!$B$13:$B$76,0),2),"")</f>
        <v/>
      </c>
      <c r="D299" s="74"/>
      <c r="E299" s="14"/>
      <c r="F299" s="14"/>
      <c r="G299" s="14"/>
      <c r="H299" s="14"/>
      <c r="Z299" s="2" t="str">
        <f>IF($B299&lt;&gt;"",INDEX(Config!$B$13:$AZ$76,MATCH($B299,Config!$B$13:$B$76,0),26),"")</f>
        <v/>
      </c>
      <c r="BA299" s="2" t="str">
        <f t="shared" si="12"/>
        <v/>
      </c>
    </row>
    <row r="300" spans="1:53" x14ac:dyDescent="0.15">
      <c r="A300" s="26" t="str">
        <f t="shared" si="11"/>
        <v/>
      </c>
      <c r="B300" s="14"/>
      <c r="C300" s="28" t="str">
        <f>IF(TRIM($B300)&lt;&gt;"",INDEX(Config!$B$13:$L$76,MATCH($B300,Config!$B$13:$B$76,0),2),"")</f>
        <v/>
      </c>
      <c r="D300" s="74"/>
      <c r="E300" s="14"/>
      <c r="F300" s="14"/>
      <c r="G300" s="14"/>
      <c r="H300" s="14"/>
      <c r="Z300" s="2" t="str">
        <f>IF($B300&lt;&gt;"",INDEX(Config!$B$13:$AZ$76,MATCH($B300,Config!$B$13:$B$76,0),26),"")</f>
        <v/>
      </c>
      <c r="BA300" s="2" t="str">
        <f t="shared" si="12"/>
        <v/>
      </c>
    </row>
    <row r="301" spans="1:53" x14ac:dyDescent="0.15">
      <c r="A301" s="26" t="str">
        <f t="shared" si="11"/>
        <v/>
      </c>
      <c r="B301" s="14"/>
      <c r="C301" s="28" t="str">
        <f>IF(TRIM($B301)&lt;&gt;"",INDEX(Config!$B$13:$L$76,MATCH($B301,Config!$B$13:$B$76,0),2),"")</f>
        <v/>
      </c>
      <c r="D301" s="74"/>
      <c r="E301" s="14"/>
      <c r="F301" s="14"/>
      <c r="G301" s="14"/>
      <c r="H301" s="14"/>
      <c r="Z301" s="2" t="str">
        <f>IF($B301&lt;&gt;"",INDEX(Config!$B$13:$AZ$76,MATCH($B301,Config!$B$13:$B$76,0),26),"")</f>
        <v/>
      </c>
      <c r="BA301" s="2" t="str">
        <f t="shared" si="12"/>
        <v/>
      </c>
    </row>
    <row r="302" spans="1:53" x14ac:dyDescent="0.15">
      <c r="A302" s="26" t="str">
        <f t="shared" si="11"/>
        <v/>
      </c>
      <c r="B302" s="14"/>
      <c r="C302" s="28" t="str">
        <f>IF(TRIM($B302)&lt;&gt;"",INDEX(Config!$B$13:$L$76,MATCH($B302,Config!$B$13:$B$76,0),2),"")</f>
        <v/>
      </c>
      <c r="D302" s="74"/>
      <c r="E302" s="14"/>
      <c r="F302" s="14"/>
      <c r="G302" s="14"/>
      <c r="H302" s="14"/>
      <c r="Z302" s="2" t="str">
        <f>IF($B302&lt;&gt;"",INDEX(Config!$B$13:$AZ$76,MATCH($B302,Config!$B$13:$B$76,0),26),"")</f>
        <v/>
      </c>
      <c r="BA302" s="2" t="str">
        <f t="shared" si="12"/>
        <v/>
      </c>
    </row>
    <row r="303" spans="1:53" x14ac:dyDescent="0.15">
      <c r="A303" s="26" t="str">
        <f t="shared" si="11"/>
        <v/>
      </c>
      <c r="B303" s="14"/>
      <c r="C303" s="28" t="str">
        <f>IF(TRIM($B303)&lt;&gt;"",INDEX(Config!$B$13:$L$76,MATCH($B303,Config!$B$13:$B$76,0),2),"")</f>
        <v/>
      </c>
      <c r="D303" s="74"/>
      <c r="E303" s="14"/>
      <c r="F303" s="14"/>
      <c r="G303" s="14"/>
      <c r="H303" s="14"/>
      <c r="Z303" s="2" t="str">
        <f>IF($B303&lt;&gt;"",INDEX(Config!$B$13:$AZ$76,MATCH($B303,Config!$B$13:$B$76,0),26),"")</f>
        <v/>
      </c>
      <c r="BA303" s="2" t="str">
        <f t="shared" si="12"/>
        <v/>
      </c>
    </row>
    <row r="304" spans="1:53" x14ac:dyDescent="0.15">
      <c r="A304" s="26" t="str">
        <f t="shared" si="11"/>
        <v/>
      </c>
      <c r="B304" s="14"/>
      <c r="C304" s="28" t="str">
        <f>IF(TRIM($B304)&lt;&gt;"",INDEX(Config!$B$13:$L$76,MATCH($B304,Config!$B$13:$B$76,0),2),"")</f>
        <v/>
      </c>
      <c r="D304" s="74"/>
      <c r="E304" s="14"/>
      <c r="F304" s="14"/>
      <c r="G304" s="14"/>
      <c r="H304" s="14"/>
      <c r="Z304" s="2" t="str">
        <f>IF($B304&lt;&gt;"",INDEX(Config!$B$13:$AZ$76,MATCH($B304,Config!$B$13:$B$76,0),26),"")</f>
        <v/>
      </c>
      <c r="BA304" s="2" t="str">
        <f t="shared" si="12"/>
        <v/>
      </c>
    </row>
    <row r="305" spans="1:53" x14ac:dyDescent="0.15">
      <c r="A305" s="26" t="str">
        <f t="shared" si="11"/>
        <v/>
      </c>
      <c r="B305" s="14"/>
      <c r="C305" s="28" t="str">
        <f>IF(TRIM($B305)&lt;&gt;"",INDEX(Config!$B$13:$L$76,MATCH($B305,Config!$B$13:$B$76,0),2),"")</f>
        <v/>
      </c>
      <c r="D305" s="74"/>
      <c r="E305" s="14"/>
      <c r="F305" s="14"/>
      <c r="G305" s="14"/>
      <c r="H305" s="14"/>
      <c r="Z305" s="2" t="str">
        <f>IF($B305&lt;&gt;"",INDEX(Config!$B$13:$AZ$76,MATCH($B305,Config!$B$13:$B$76,0),26),"")</f>
        <v/>
      </c>
      <c r="BA305" s="2" t="str">
        <f t="shared" si="12"/>
        <v/>
      </c>
    </row>
    <row r="306" spans="1:53" x14ac:dyDescent="0.15">
      <c r="A306" s="26" t="str">
        <f t="shared" si="11"/>
        <v/>
      </c>
      <c r="B306" s="14"/>
      <c r="C306" s="28" t="str">
        <f>IF(TRIM($B306)&lt;&gt;"",INDEX(Config!$B$13:$L$76,MATCH($B306,Config!$B$13:$B$76,0),2),"")</f>
        <v/>
      </c>
      <c r="D306" s="74"/>
      <c r="E306" s="14"/>
      <c r="F306" s="14"/>
      <c r="G306" s="14"/>
      <c r="H306" s="14"/>
      <c r="Z306" s="2" t="str">
        <f>IF($B306&lt;&gt;"",INDEX(Config!$B$13:$AZ$76,MATCH($B306,Config!$B$13:$B$76,0),26),"")</f>
        <v/>
      </c>
      <c r="BA306" s="2" t="str">
        <f t="shared" si="12"/>
        <v/>
      </c>
    </row>
    <row r="307" spans="1:53" x14ac:dyDescent="0.15">
      <c r="A307" s="26" t="str">
        <f t="shared" si="11"/>
        <v/>
      </c>
      <c r="B307" s="14"/>
      <c r="C307" s="28" t="str">
        <f>IF(TRIM($B307)&lt;&gt;"",INDEX(Config!$B$13:$L$76,MATCH($B307,Config!$B$13:$B$76,0),2),"")</f>
        <v/>
      </c>
      <c r="D307" s="74"/>
      <c r="E307" s="14"/>
      <c r="F307" s="14"/>
      <c r="G307" s="14"/>
      <c r="H307" s="14"/>
      <c r="Z307" s="2" t="str">
        <f>IF($B307&lt;&gt;"",INDEX(Config!$B$13:$AZ$76,MATCH($B307,Config!$B$13:$B$76,0),26),"")</f>
        <v/>
      </c>
      <c r="BA307" s="2" t="str">
        <f t="shared" si="12"/>
        <v/>
      </c>
    </row>
    <row r="308" spans="1:53" x14ac:dyDescent="0.15">
      <c r="A308" s="26" t="str">
        <f t="shared" si="11"/>
        <v/>
      </c>
      <c r="B308" s="14"/>
      <c r="C308" s="28" t="str">
        <f>IF(TRIM($B308)&lt;&gt;"",INDEX(Config!$B$13:$L$76,MATCH($B308,Config!$B$13:$B$76,0),2),"")</f>
        <v/>
      </c>
      <c r="D308" s="74"/>
      <c r="E308" s="14"/>
      <c r="F308" s="14"/>
      <c r="G308" s="14"/>
      <c r="H308" s="14"/>
      <c r="Z308" s="2" t="str">
        <f>IF($B308&lt;&gt;"",INDEX(Config!$B$13:$AZ$76,MATCH($B308,Config!$B$13:$B$76,0),26),"")</f>
        <v/>
      </c>
      <c r="BA308" s="2" t="str">
        <f t="shared" si="12"/>
        <v/>
      </c>
    </row>
    <row r="309" spans="1:53" x14ac:dyDescent="0.15">
      <c r="A309" s="26" t="str">
        <f t="shared" si="11"/>
        <v/>
      </c>
      <c r="B309" s="14"/>
      <c r="C309" s="28" t="str">
        <f>IF(TRIM($B309)&lt;&gt;"",INDEX(Config!$B$13:$L$76,MATCH($B309,Config!$B$13:$B$76,0),2),"")</f>
        <v/>
      </c>
      <c r="D309" s="74"/>
      <c r="E309" s="14"/>
      <c r="F309" s="14"/>
      <c r="G309" s="14"/>
      <c r="H309" s="14"/>
      <c r="Z309" s="2" t="str">
        <f>IF($B309&lt;&gt;"",INDEX(Config!$B$13:$AZ$76,MATCH($B309,Config!$B$13:$B$76,0),26),"")</f>
        <v/>
      </c>
      <c r="BA309" s="2" t="str">
        <f t="shared" si="12"/>
        <v/>
      </c>
    </row>
    <row r="310" spans="1:53" x14ac:dyDescent="0.15">
      <c r="A310" s="26" t="str">
        <f t="shared" si="11"/>
        <v/>
      </c>
      <c r="B310" s="14"/>
      <c r="C310" s="28" t="str">
        <f>IF(TRIM($B310)&lt;&gt;"",INDEX(Config!$B$13:$L$76,MATCH($B310,Config!$B$13:$B$76,0),2),"")</f>
        <v/>
      </c>
      <c r="D310" s="74"/>
      <c r="E310" s="14"/>
      <c r="F310" s="14"/>
      <c r="G310" s="14"/>
      <c r="H310" s="14"/>
      <c r="Z310" s="2" t="str">
        <f>IF($B310&lt;&gt;"",INDEX(Config!$B$13:$AZ$76,MATCH($B310,Config!$B$13:$B$76,0),26),"")</f>
        <v/>
      </c>
      <c r="BA310" s="2" t="str">
        <f t="shared" si="12"/>
        <v/>
      </c>
    </row>
    <row r="311" spans="1:53" x14ac:dyDescent="0.15">
      <c r="A311" s="26" t="str">
        <f t="shared" si="11"/>
        <v/>
      </c>
      <c r="B311" s="14"/>
      <c r="C311" s="28" t="str">
        <f>IF(TRIM($B311)&lt;&gt;"",INDEX(Config!$B$13:$L$76,MATCH($B311,Config!$B$13:$B$76,0),2),"")</f>
        <v/>
      </c>
      <c r="D311" s="74"/>
      <c r="E311" s="14"/>
      <c r="F311" s="14"/>
      <c r="G311" s="14"/>
      <c r="H311" s="14"/>
      <c r="Z311" s="2" t="str">
        <f>IF($B311&lt;&gt;"",INDEX(Config!$B$13:$AZ$76,MATCH($B311,Config!$B$13:$B$76,0),26),"")</f>
        <v/>
      </c>
      <c r="BA311" s="2" t="str">
        <f t="shared" si="12"/>
        <v/>
      </c>
    </row>
    <row r="312" spans="1:53" x14ac:dyDescent="0.15">
      <c r="A312" s="26" t="str">
        <f t="shared" si="11"/>
        <v/>
      </c>
      <c r="B312" s="14"/>
      <c r="C312" s="28" t="str">
        <f>IF(TRIM($B312)&lt;&gt;"",INDEX(Config!$B$13:$L$76,MATCH($B312,Config!$B$13:$B$76,0),2),"")</f>
        <v/>
      </c>
      <c r="D312" s="74"/>
      <c r="E312" s="14"/>
      <c r="F312" s="14"/>
      <c r="G312" s="14"/>
      <c r="H312" s="14"/>
      <c r="Z312" s="2" t="str">
        <f>IF($B312&lt;&gt;"",INDEX(Config!$B$13:$AZ$76,MATCH($B312,Config!$B$13:$B$76,0),26),"")</f>
        <v/>
      </c>
      <c r="BA312" s="2" t="str">
        <f t="shared" si="12"/>
        <v/>
      </c>
    </row>
    <row r="313" spans="1:53" x14ac:dyDescent="0.15">
      <c r="A313" s="26" t="str">
        <f t="shared" si="11"/>
        <v/>
      </c>
      <c r="B313" s="14"/>
      <c r="C313" s="28" t="str">
        <f>IF(TRIM($B313)&lt;&gt;"",INDEX(Config!$B$13:$L$76,MATCH($B313,Config!$B$13:$B$76,0),2),"")</f>
        <v/>
      </c>
      <c r="D313" s="74"/>
      <c r="E313" s="14"/>
      <c r="F313" s="14"/>
      <c r="G313" s="14"/>
      <c r="H313" s="14"/>
      <c r="Z313" s="2" t="str">
        <f>IF($B313&lt;&gt;"",INDEX(Config!$B$13:$AZ$76,MATCH($B313,Config!$B$13:$B$76,0),26),"")</f>
        <v/>
      </c>
      <c r="BA313" s="2" t="str">
        <f t="shared" si="12"/>
        <v/>
      </c>
    </row>
    <row r="314" spans="1:53" x14ac:dyDescent="0.15">
      <c r="A314" s="26" t="str">
        <f t="shared" si="11"/>
        <v/>
      </c>
      <c r="B314" s="14"/>
      <c r="C314" s="28" t="str">
        <f>IF(TRIM($B314)&lt;&gt;"",INDEX(Config!$B$13:$L$76,MATCH($B314,Config!$B$13:$B$76,0),2),"")</f>
        <v/>
      </c>
      <c r="D314" s="74"/>
      <c r="E314" s="14"/>
      <c r="F314" s="14"/>
      <c r="G314" s="14"/>
      <c r="H314" s="14"/>
      <c r="Z314" s="2" t="str">
        <f>IF($B314&lt;&gt;"",INDEX(Config!$B$13:$AZ$76,MATCH($B314,Config!$B$13:$B$76,0),26),"")</f>
        <v/>
      </c>
      <c r="BA314" s="2" t="str">
        <f t="shared" si="12"/>
        <v/>
      </c>
    </row>
    <row r="315" spans="1:53" x14ac:dyDescent="0.15">
      <c r="A315" s="26" t="str">
        <f t="shared" si="11"/>
        <v/>
      </c>
      <c r="B315" s="14"/>
      <c r="C315" s="28" t="str">
        <f>IF(TRIM($B315)&lt;&gt;"",INDEX(Config!$B$13:$L$76,MATCH($B315,Config!$B$13:$B$76,0),2),"")</f>
        <v/>
      </c>
      <c r="D315" s="74"/>
      <c r="E315" s="14"/>
      <c r="F315" s="14"/>
      <c r="G315" s="14"/>
      <c r="H315" s="14"/>
      <c r="Z315" s="2" t="str">
        <f>IF($B315&lt;&gt;"",INDEX(Config!$B$13:$AZ$76,MATCH($B315,Config!$B$13:$B$76,0),26),"")</f>
        <v/>
      </c>
      <c r="BA315" s="2" t="str">
        <f t="shared" si="12"/>
        <v/>
      </c>
    </row>
    <row r="316" spans="1:53" x14ac:dyDescent="0.15">
      <c r="A316" s="26" t="str">
        <f t="shared" si="11"/>
        <v/>
      </c>
      <c r="B316" s="14"/>
      <c r="C316" s="28" t="str">
        <f>IF(TRIM($B316)&lt;&gt;"",INDEX(Config!$B$13:$L$76,MATCH($B316,Config!$B$13:$B$76,0),2),"")</f>
        <v/>
      </c>
      <c r="D316" s="74"/>
      <c r="E316" s="14"/>
      <c r="F316" s="14"/>
      <c r="G316" s="14"/>
      <c r="H316" s="14"/>
      <c r="Z316" s="2" t="str">
        <f>IF($B316&lt;&gt;"",INDEX(Config!$B$13:$AZ$76,MATCH($B316,Config!$B$13:$B$76,0),26),"")</f>
        <v/>
      </c>
      <c r="BA316" s="2" t="str">
        <f t="shared" si="12"/>
        <v/>
      </c>
    </row>
    <row r="317" spans="1:53" x14ac:dyDescent="0.15">
      <c r="A317" s="26" t="str">
        <f t="shared" si="11"/>
        <v/>
      </c>
      <c r="B317" s="14"/>
      <c r="C317" s="28" t="str">
        <f>IF(TRIM($B317)&lt;&gt;"",INDEX(Config!$B$13:$L$76,MATCH($B317,Config!$B$13:$B$76,0),2),"")</f>
        <v/>
      </c>
      <c r="D317" s="74"/>
      <c r="E317" s="14"/>
      <c r="F317" s="14"/>
      <c r="G317" s="14"/>
      <c r="H317" s="14"/>
      <c r="Z317" s="2" t="str">
        <f>IF($B317&lt;&gt;"",INDEX(Config!$B$13:$AZ$76,MATCH($B317,Config!$B$13:$B$76,0),26),"")</f>
        <v/>
      </c>
      <c r="BA317" s="2" t="str">
        <f t="shared" si="12"/>
        <v/>
      </c>
    </row>
    <row r="318" spans="1:53" x14ac:dyDescent="0.15">
      <c r="A318" s="26" t="str">
        <f t="shared" si="11"/>
        <v/>
      </c>
      <c r="B318" s="14"/>
      <c r="C318" s="28" t="str">
        <f>IF(TRIM($B318)&lt;&gt;"",INDEX(Config!$B$13:$L$76,MATCH($B318,Config!$B$13:$B$76,0),2),"")</f>
        <v/>
      </c>
      <c r="D318" s="74"/>
      <c r="E318" s="14"/>
      <c r="F318" s="14"/>
      <c r="G318" s="14"/>
      <c r="H318" s="14"/>
      <c r="Z318" s="2" t="str">
        <f>IF($B318&lt;&gt;"",INDEX(Config!$B$13:$AZ$76,MATCH($B318,Config!$B$13:$B$76,0),26),"")</f>
        <v/>
      </c>
      <c r="BA318" s="2" t="str">
        <f t="shared" si="12"/>
        <v/>
      </c>
    </row>
    <row r="319" spans="1:53" x14ac:dyDescent="0.15">
      <c r="A319" s="26" t="str">
        <f t="shared" si="11"/>
        <v/>
      </c>
      <c r="B319" s="14"/>
      <c r="C319" s="28" t="str">
        <f>IF(TRIM($B319)&lt;&gt;"",INDEX(Config!$B$13:$L$76,MATCH($B319,Config!$B$13:$B$76,0),2),"")</f>
        <v/>
      </c>
      <c r="D319" s="74"/>
      <c r="E319" s="14"/>
      <c r="F319" s="14"/>
      <c r="G319" s="14"/>
      <c r="H319" s="14"/>
      <c r="Z319" s="2" t="str">
        <f>IF($B319&lt;&gt;"",INDEX(Config!$B$13:$AZ$76,MATCH($B319,Config!$B$13:$B$76,0),26),"")</f>
        <v/>
      </c>
      <c r="BA319" s="2" t="str">
        <f t="shared" si="12"/>
        <v/>
      </c>
    </row>
    <row r="320" spans="1:53" x14ac:dyDescent="0.15">
      <c r="A320" s="26" t="str">
        <f t="shared" si="11"/>
        <v/>
      </c>
      <c r="B320" s="14"/>
      <c r="C320" s="28" t="str">
        <f>IF(TRIM($B320)&lt;&gt;"",INDEX(Config!$B$13:$L$76,MATCH($B320,Config!$B$13:$B$76,0),2),"")</f>
        <v/>
      </c>
      <c r="D320" s="74"/>
      <c r="E320" s="14"/>
      <c r="F320" s="14"/>
      <c r="G320" s="14"/>
      <c r="H320" s="14"/>
      <c r="Z320" s="2" t="str">
        <f>IF($B320&lt;&gt;"",INDEX(Config!$B$13:$AZ$76,MATCH($B320,Config!$B$13:$B$76,0),26),"")</f>
        <v/>
      </c>
      <c r="BA320" s="2" t="str">
        <f t="shared" si="12"/>
        <v/>
      </c>
    </row>
    <row r="321" spans="1:53" x14ac:dyDescent="0.15">
      <c r="A321" s="26" t="str">
        <f t="shared" si="11"/>
        <v/>
      </c>
      <c r="B321" s="14"/>
      <c r="C321" s="28" t="str">
        <f>IF(TRIM($B321)&lt;&gt;"",INDEX(Config!$B$13:$L$76,MATCH($B321,Config!$B$13:$B$76,0),2),"")</f>
        <v/>
      </c>
      <c r="D321" s="74"/>
      <c r="E321" s="14"/>
      <c r="F321" s="14"/>
      <c r="G321" s="14"/>
      <c r="H321" s="14"/>
      <c r="Z321" s="2" t="str">
        <f>IF($B321&lt;&gt;"",INDEX(Config!$B$13:$AZ$76,MATCH($B321,Config!$B$13:$B$76,0),26),"")</f>
        <v/>
      </c>
      <c r="BA321" s="2" t="str">
        <f t="shared" si="12"/>
        <v/>
      </c>
    </row>
    <row r="322" spans="1:53" x14ac:dyDescent="0.15">
      <c r="A322" s="26" t="str">
        <f t="shared" si="11"/>
        <v/>
      </c>
      <c r="B322" s="14"/>
      <c r="C322" s="28" t="str">
        <f>IF(TRIM($B322)&lt;&gt;"",INDEX(Config!$B$13:$L$76,MATCH($B322,Config!$B$13:$B$76,0),2),"")</f>
        <v/>
      </c>
      <c r="D322" s="74"/>
      <c r="E322" s="14"/>
      <c r="F322" s="14"/>
      <c r="G322" s="14"/>
      <c r="H322" s="14"/>
      <c r="Z322" s="2" t="str">
        <f>IF($B322&lt;&gt;"",INDEX(Config!$B$13:$AZ$76,MATCH($B322,Config!$B$13:$B$76,0),26),"")</f>
        <v/>
      </c>
      <c r="BA322" s="2" t="str">
        <f t="shared" si="12"/>
        <v/>
      </c>
    </row>
    <row r="323" spans="1:53" x14ac:dyDescent="0.15">
      <c r="A323" s="26" t="str">
        <f t="shared" si="11"/>
        <v/>
      </c>
      <c r="B323" s="14"/>
      <c r="C323" s="28" t="str">
        <f>IF(TRIM($B323)&lt;&gt;"",INDEX(Config!$B$13:$L$76,MATCH($B323,Config!$B$13:$B$76,0),2),"")</f>
        <v/>
      </c>
      <c r="D323" s="74"/>
      <c r="E323" s="14"/>
      <c r="F323" s="14"/>
      <c r="G323" s="14"/>
      <c r="H323" s="14"/>
      <c r="Z323" s="2" t="str">
        <f>IF($B323&lt;&gt;"",INDEX(Config!$B$13:$AZ$76,MATCH($B323,Config!$B$13:$B$76,0),26),"")</f>
        <v/>
      </c>
      <c r="BA323" s="2" t="str">
        <f t="shared" si="12"/>
        <v/>
      </c>
    </row>
    <row r="324" spans="1:53" x14ac:dyDescent="0.15">
      <c r="A324" s="26" t="str">
        <f t="shared" si="11"/>
        <v/>
      </c>
      <c r="B324" s="14"/>
      <c r="C324" s="28" t="str">
        <f>IF(TRIM($B324)&lt;&gt;"",INDEX(Config!$B$13:$L$76,MATCH($B324,Config!$B$13:$B$76,0),2),"")</f>
        <v/>
      </c>
      <c r="D324" s="74"/>
      <c r="E324" s="14"/>
      <c r="F324" s="14"/>
      <c r="G324" s="14"/>
      <c r="H324" s="14"/>
      <c r="Z324" s="2" t="str">
        <f>IF($B324&lt;&gt;"",INDEX(Config!$B$13:$AZ$76,MATCH($B324,Config!$B$13:$B$76,0),26),"")</f>
        <v/>
      </c>
      <c r="BA324" s="2" t="str">
        <f t="shared" si="12"/>
        <v/>
      </c>
    </row>
    <row r="325" spans="1:53" x14ac:dyDescent="0.15">
      <c r="A325" s="26" t="str">
        <f t="shared" si="11"/>
        <v/>
      </c>
      <c r="B325" s="14"/>
      <c r="C325" s="28" t="str">
        <f>IF(TRIM($B325)&lt;&gt;"",INDEX(Config!$B$13:$L$76,MATCH($B325,Config!$B$13:$B$76,0),2),"")</f>
        <v/>
      </c>
      <c r="D325" s="74"/>
      <c r="E325" s="14"/>
      <c r="F325" s="14"/>
      <c r="G325" s="14"/>
      <c r="H325" s="14"/>
      <c r="Z325" s="2" t="str">
        <f>IF($B325&lt;&gt;"",INDEX(Config!$B$13:$AZ$76,MATCH($B325,Config!$B$13:$B$76,0),26),"")</f>
        <v/>
      </c>
      <c r="BA325" s="2" t="str">
        <f t="shared" si="12"/>
        <v/>
      </c>
    </row>
    <row r="326" spans="1:53" x14ac:dyDescent="0.15">
      <c r="A326" s="26" t="str">
        <f t="shared" si="11"/>
        <v/>
      </c>
      <c r="B326" s="14"/>
      <c r="C326" s="28" t="str">
        <f>IF(TRIM($B326)&lt;&gt;"",INDEX(Config!$B$13:$L$76,MATCH($B326,Config!$B$13:$B$76,0),2),"")</f>
        <v/>
      </c>
      <c r="D326" s="74"/>
      <c r="E326" s="14"/>
      <c r="F326" s="14"/>
      <c r="G326" s="14"/>
      <c r="H326" s="14"/>
      <c r="Z326" s="2" t="str">
        <f>IF($B326&lt;&gt;"",INDEX(Config!$B$13:$AZ$76,MATCH($B326,Config!$B$13:$B$76,0),26),"")</f>
        <v/>
      </c>
      <c r="BA326" s="2" t="str">
        <f t="shared" si="12"/>
        <v/>
      </c>
    </row>
    <row r="327" spans="1:53" x14ac:dyDescent="0.15">
      <c r="A327" s="26" t="str">
        <f t="shared" si="11"/>
        <v/>
      </c>
      <c r="B327" s="14"/>
      <c r="C327" s="28" t="str">
        <f>IF(TRIM($B327)&lt;&gt;"",INDEX(Config!$B$13:$L$76,MATCH($B327,Config!$B$13:$B$76,0),2),"")</f>
        <v/>
      </c>
      <c r="D327" s="74"/>
      <c r="E327" s="14"/>
      <c r="F327" s="14"/>
      <c r="G327" s="14"/>
      <c r="H327" s="14"/>
      <c r="Z327" s="2" t="str">
        <f>IF($B327&lt;&gt;"",INDEX(Config!$B$13:$AZ$76,MATCH($B327,Config!$B$13:$B$76,0),26),"")</f>
        <v/>
      </c>
      <c r="BA327" s="2" t="str">
        <f t="shared" si="12"/>
        <v/>
      </c>
    </row>
    <row r="328" spans="1:53" x14ac:dyDescent="0.15">
      <c r="A328" s="26" t="str">
        <f t="shared" ref="A328:A391" si="13">IF(B328&lt;&gt;"","#"&amp;ROW()-1,"")</f>
        <v/>
      </c>
      <c r="B328" s="14"/>
      <c r="C328" s="28" t="str">
        <f>IF(TRIM($B328)&lt;&gt;"",INDEX(Config!$B$13:$L$76,MATCH($B328,Config!$B$13:$B$76,0),2),"")</f>
        <v/>
      </c>
      <c r="D328" s="74"/>
      <c r="E328" s="14"/>
      <c r="F328" s="14"/>
      <c r="G328" s="14"/>
      <c r="H328" s="14"/>
      <c r="Z328" s="2" t="str">
        <f>IF($B328&lt;&gt;"",INDEX(Config!$B$13:$AZ$76,MATCH($B328,Config!$B$13:$B$76,0),26),"")</f>
        <v/>
      </c>
      <c r="BA328" s="2" t="str">
        <f t="shared" ref="BA328:BA391" si="14">IF($B328&lt;&gt;"",ROW()-1,"")</f>
        <v/>
      </c>
    </row>
    <row r="329" spans="1:53" x14ac:dyDescent="0.15">
      <c r="A329" s="26" t="str">
        <f t="shared" si="13"/>
        <v/>
      </c>
      <c r="B329" s="14"/>
      <c r="C329" s="28" t="str">
        <f>IF(TRIM($B329)&lt;&gt;"",INDEX(Config!$B$13:$L$76,MATCH($B329,Config!$B$13:$B$76,0),2),"")</f>
        <v/>
      </c>
      <c r="D329" s="74"/>
      <c r="E329" s="14"/>
      <c r="F329" s="14"/>
      <c r="G329" s="14"/>
      <c r="H329" s="14"/>
      <c r="Z329" s="2" t="str">
        <f>IF($B329&lt;&gt;"",INDEX(Config!$B$13:$AZ$76,MATCH($B329,Config!$B$13:$B$76,0),26),"")</f>
        <v/>
      </c>
      <c r="BA329" s="2" t="str">
        <f t="shared" si="14"/>
        <v/>
      </c>
    </row>
    <row r="330" spans="1:53" x14ac:dyDescent="0.15">
      <c r="A330" s="26" t="str">
        <f t="shared" si="13"/>
        <v/>
      </c>
      <c r="B330" s="14"/>
      <c r="C330" s="28" t="str">
        <f>IF(TRIM($B330)&lt;&gt;"",INDEX(Config!$B$13:$L$76,MATCH($B330,Config!$B$13:$B$76,0),2),"")</f>
        <v/>
      </c>
      <c r="D330" s="74"/>
      <c r="E330" s="14"/>
      <c r="F330" s="14"/>
      <c r="G330" s="14"/>
      <c r="H330" s="14"/>
      <c r="Z330" s="2" t="str">
        <f>IF($B330&lt;&gt;"",INDEX(Config!$B$13:$AZ$76,MATCH($B330,Config!$B$13:$B$76,0),26),"")</f>
        <v/>
      </c>
      <c r="BA330" s="2" t="str">
        <f t="shared" si="14"/>
        <v/>
      </c>
    </row>
    <row r="331" spans="1:53" x14ac:dyDescent="0.15">
      <c r="A331" s="26" t="str">
        <f t="shared" si="13"/>
        <v/>
      </c>
      <c r="B331" s="14"/>
      <c r="C331" s="28" t="str">
        <f>IF(TRIM($B331)&lt;&gt;"",INDEX(Config!$B$13:$L$76,MATCH($B331,Config!$B$13:$B$76,0),2),"")</f>
        <v/>
      </c>
      <c r="D331" s="74"/>
      <c r="E331" s="14"/>
      <c r="F331" s="14"/>
      <c r="G331" s="14"/>
      <c r="H331" s="14"/>
      <c r="Z331" s="2" t="str">
        <f>IF($B331&lt;&gt;"",INDEX(Config!$B$13:$AZ$76,MATCH($B331,Config!$B$13:$B$76,0),26),"")</f>
        <v/>
      </c>
      <c r="BA331" s="2" t="str">
        <f t="shared" si="14"/>
        <v/>
      </c>
    </row>
    <row r="332" spans="1:53" x14ac:dyDescent="0.15">
      <c r="A332" s="26" t="str">
        <f t="shared" si="13"/>
        <v/>
      </c>
      <c r="B332" s="14"/>
      <c r="C332" s="28" t="str">
        <f>IF(TRIM($B332)&lt;&gt;"",INDEX(Config!$B$13:$L$76,MATCH($B332,Config!$B$13:$B$76,0),2),"")</f>
        <v/>
      </c>
      <c r="D332" s="74"/>
      <c r="E332" s="14"/>
      <c r="F332" s="14"/>
      <c r="G332" s="14"/>
      <c r="H332" s="14"/>
      <c r="Z332" s="2" t="str">
        <f>IF($B332&lt;&gt;"",INDEX(Config!$B$13:$AZ$76,MATCH($B332,Config!$B$13:$B$76,0),26),"")</f>
        <v/>
      </c>
      <c r="BA332" s="2" t="str">
        <f t="shared" si="14"/>
        <v/>
      </c>
    </row>
    <row r="333" spans="1:53" x14ac:dyDescent="0.15">
      <c r="A333" s="26" t="str">
        <f t="shared" si="13"/>
        <v/>
      </c>
      <c r="B333" s="14"/>
      <c r="C333" s="28" t="str">
        <f>IF(TRIM($B333)&lt;&gt;"",INDEX(Config!$B$13:$L$76,MATCH($B333,Config!$B$13:$B$76,0),2),"")</f>
        <v/>
      </c>
      <c r="D333" s="74"/>
      <c r="E333" s="14"/>
      <c r="F333" s="14"/>
      <c r="G333" s="14"/>
      <c r="H333" s="14"/>
      <c r="Z333" s="2" t="str">
        <f>IF($B333&lt;&gt;"",INDEX(Config!$B$13:$AZ$76,MATCH($B333,Config!$B$13:$B$76,0),26),"")</f>
        <v/>
      </c>
      <c r="BA333" s="2" t="str">
        <f t="shared" si="14"/>
        <v/>
      </c>
    </row>
    <row r="334" spans="1:53" x14ac:dyDescent="0.15">
      <c r="A334" s="26" t="str">
        <f t="shared" si="13"/>
        <v/>
      </c>
      <c r="B334" s="14"/>
      <c r="C334" s="28" t="str">
        <f>IF(TRIM($B334)&lt;&gt;"",INDEX(Config!$B$13:$L$76,MATCH($B334,Config!$B$13:$B$76,0),2),"")</f>
        <v/>
      </c>
      <c r="D334" s="74"/>
      <c r="E334" s="14"/>
      <c r="F334" s="14"/>
      <c r="G334" s="14"/>
      <c r="H334" s="14"/>
      <c r="Z334" s="2" t="str">
        <f>IF($B334&lt;&gt;"",INDEX(Config!$B$13:$AZ$76,MATCH($B334,Config!$B$13:$B$76,0),26),"")</f>
        <v/>
      </c>
      <c r="BA334" s="2" t="str">
        <f t="shared" si="14"/>
        <v/>
      </c>
    </row>
    <row r="335" spans="1:53" x14ac:dyDescent="0.15">
      <c r="A335" s="26" t="str">
        <f t="shared" si="13"/>
        <v/>
      </c>
      <c r="B335" s="14"/>
      <c r="C335" s="28" t="str">
        <f>IF(TRIM($B335)&lt;&gt;"",INDEX(Config!$B$13:$L$76,MATCH($B335,Config!$B$13:$B$76,0),2),"")</f>
        <v/>
      </c>
      <c r="D335" s="74"/>
      <c r="E335" s="14"/>
      <c r="F335" s="14"/>
      <c r="G335" s="14"/>
      <c r="H335" s="14"/>
      <c r="Z335" s="2" t="str">
        <f>IF($B335&lt;&gt;"",INDEX(Config!$B$13:$AZ$76,MATCH($B335,Config!$B$13:$B$76,0),26),"")</f>
        <v/>
      </c>
      <c r="BA335" s="2" t="str">
        <f t="shared" si="14"/>
        <v/>
      </c>
    </row>
    <row r="336" spans="1:53" x14ac:dyDescent="0.15">
      <c r="A336" s="26" t="str">
        <f t="shared" si="13"/>
        <v/>
      </c>
      <c r="B336" s="14"/>
      <c r="C336" s="28" t="str">
        <f>IF(TRIM($B336)&lt;&gt;"",INDEX(Config!$B$13:$L$76,MATCH($B336,Config!$B$13:$B$76,0),2),"")</f>
        <v/>
      </c>
      <c r="D336" s="74"/>
      <c r="E336" s="14"/>
      <c r="F336" s="14"/>
      <c r="G336" s="14"/>
      <c r="H336" s="14"/>
      <c r="Z336" s="2" t="str">
        <f>IF($B336&lt;&gt;"",INDEX(Config!$B$13:$AZ$76,MATCH($B336,Config!$B$13:$B$76,0),26),"")</f>
        <v/>
      </c>
      <c r="BA336" s="2" t="str">
        <f t="shared" si="14"/>
        <v/>
      </c>
    </row>
    <row r="337" spans="1:53" x14ac:dyDescent="0.15">
      <c r="A337" s="26" t="str">
        <f t="shared" si="13"/>
        <v/>
      </c>
      <c r="B337" s="14"/>
      <c r="C337" s="28" t="str">
        <f>IF(TRIM($B337)&lt;&gt;"",INDEX(Config!$B$13:$L$76,MATCH($B337,Config!$B$13:$B$76,0),2),"")</f>
        <v/>
      </c>
      <c r="D337" s="74"/>
      <c r="E337" s="14"/>
      <c r="F337" s="14"/>
      <c r="G337" s="14"/>
      <c r="H337" s="14"/>
      <c r="Z337" s="2" t="str">
        <f>IF($B337&lt;&gt;"",INDEX(Config!$B$13:$AZ$76,MATCH($B337,Config!$B$13:$B$76,0),26),"")</f>
        <v/>
      </c>
      <c r="BA337" s="2" t="str">
        <f t="shared" si="14"/>
        <v/>
      </c>
    </row>
    <row r="338" spans="1:53" x14ac:dyDescent="0.15">
      <c r="A338" s="26" t="str">
        <f t="shared" si="13"/>
        <v/>
      </c>
      <c r="B338" s="14"/>
      <c r="C338" s="28" t="str">
        <f>IF(TRIM($B338)&lt;&gt;"",INDEX(Config!$B$13:$L$76,MATCH($B338,Config!$B$13:$B$76,0),2),"")</f>
        <v/>
      </c>
      <c r="D338" s="74"/>
      <c r="E338" s="14"/>
      <c r="F338" s="14"/>
      <c r="G338" s="14"/>
      <c r="H338" s="14"/>
      <c r="Z338" s="2" t="str">
        <f>IF($B338&lt;&gt;"",INDEX(Config!$B$13:$AZ$76,MATCH($B338,Config!$B$13:$B$76,0),26),"")</f>
        <v/>
      </c>
      <c r="BA338" s="2" t="str">
        <f t="shared" si="14"/>
        <v/>
      </c>
    </row>
    <row r="339" spans="1:53" x14ac:dyDescent="0.15">
      <c r="A339" s="26" t="str">
        <f t="shared" si="13"/>
        <v/>
      </c>
      <c r="B339" s="14"/>
      <c r="C339" s="28" t="str">
        <f>IF(TRIM($B339)&lt;&gt;"",INDEX(Config!$B$13:$L$76,MATCH($B339,Config!$B$13:$B$76,0),2),"")</f>
        <v/>
      </c>
      <c r="D339" s="74"/>
      <c r="E339" s="14"/>
      <c r="F339" s="14"/>
      <c r="G339" s="14"/>
      <c r="H339" s="14"/>
      <c r="Z339" s="2" t="str">
        <f>IF($B339&lt;&gt;"",INDEX(Config!$B$13:$AZ$76,MATCH($B339,Config!$B$13:$B$76,0),26),"")</f>
        <v/>
      </c>
      <c r="BA339" s="2" t="str">
        <f t="shared" si="14"/>
        <v/>
      </c>
    </row>
    <row r="340" spans="1:53" x14ac:dyDescent="0.15">
      <c r="A340" s="26" t="str">
        <f t="shared" si="13"/>
        <v/>
      </c>
      <c r="B340" s="14"/>
      <c r="C340" s="28" t="str">
        <f>IF(TRIM($B340)&lt;&gt;"",INDEX(Config!$B$13:$L$76,MATCH($B340,Config!$B$13:$B$76,0),2),"")</f>
        <v/>
      </c>
      <c r="D340" s="74"/>
      <c r="E340" s="14"/>
      <c r="F340" s="14"/>
      <c r="G340" s="14"/>
      <c r="H340" s="14"/>
      <c r="Z340" s="2" t="str">
        <f>IF($B340&lt;&gt;"",INDEX(Config!$B$13:$AZ$76,MATCH($B340,Config!$B$13:$B$76,0),26),"")</f>
        <v/>
      </c>
      <c r="BA340" s="2" t="str">
        <f t="shared" si="14"/>
        <v/>
      </c>
    </row>
    <row r="341" spans="1:53" x14ac:dyDescent="0.15">
      <c r="A341" s="26" t="str">
        <f t="shared" si="13"/>
        <v/>
      </c>
      <c r="B341" s="14"/>
      <c r="C341" s="28" t="str">
        <f>IF(TRIM($B341)&lt;&gt;"",INDEX(Config!$B$13:$L$76,MATCH($B341,Config!$B$13:$B$76,0),2),"")</f>
        <v/>
      </c>
      <c r="D341" s="74"/>
      <c r="E341" s="14"/>
      <c r="F341" s="14"/>
      <c r="G341" s="14"/>
      <c r="H341" s="14"/>
      <c r="Z341" s="2" t="str">
        <f>IF($B341&lt;&gt;"",INDEX(Config!$B$13:$AZ$76,MATCH($B341,Config!$B$13:$B$76,0),26),"")</f>
        <v/>
      </c>
      <c r="BA341" s="2" t="str">
        <f t="shared" si="14"/>
        <v/>
      </c>
    </row>
    <row r="342" spans="1:53" x14ac:dyDescent="0.15">
      <c r="A342" s="26" t="str">
        <f t="shared" si="13"/>
        <v/>
      </c>
      <c r="B342" s="14"/>
      <c r="C342" s="28" t="str">
        <f>IF(TRIM($B342)&lt;&gt;"",INDEX(Config!$B$13:$L$76,MATCH($B342,Config!$B$13:$B$76,0),2),"")</f>
        <v/>
      </c>
      <c r="D342" s="74"/>
      <c r="E342" s="14"/>
      <c r="F342" s="14"/>
      <c r="G342" s="14"/>
      <c r="H342" s="14"/>
      <c r="Z342" s="2" t="str">
        <f>IF($B342&lt;&gt;"",INDEX(Config!$B$13:$AZ$76,MATCH($B342,Config!$B$13:$B$76,0),26),"")</f>
        <v/>
      </c>
      <c r="BA342" s="2" t="str">
        <f t="shared" si="14"/>
        <v/>
      </c>
    </row>
    <row r="343" spans="1:53" x14ac:dyDescent="0.15">
      <c r="A343" s="26" t="str">
        <f t="shared" si="13"/>
        <v/>
      </c>
      <c r="B343" s="14"/>
      <c r="C343" s="28" t="str">
        <f>IF(TRIM($B343)&lt;&gt;"",INDEX(Config!$B$13:$L$76,MATCH($B343,Config!$B$13:$B$76,0),2),"")</f>
        <v/>
      </c>
      <c r="D343" s="74"/>
      <c r="E343" s="14"/>
      <c r="F343" s="14"/>
      <c r="G343" s="14"/>
      <c r="H343" s="14"/>
      <c r="Z343" s="2" t="str">
        <f>IF($B343&lt;&gt;"",INDEX(Config!$B$13:$AZ$76,MATCH($B343,Config!$B$13:$B$76,0),26),"")</f>
        <v/>
      </c>
      <c r="BA343" s="2" t="str">
        <f t="shared" si="14"/>
        <v/>
      </c>
    </row>
    <row r="344" spans="1:53" x14ac:dyDescent="0.15">
      <c r="A344" s="26" t="str">
        <f t="shared" si="13"/>
        <v/>
      </c>
      <c r="B344" s="14"/>
      <c r="C344" s="28" t="str">
        <f>IF(TRIM($B344)&lt;&gt;"",INDEX(Config!$B$13:$L$76,MATCH($B344,Config!$B$13:$B$76,0),2),"")</f>
        <v/>
      </c>
      <c r="D344" s="74"/>
      <c r="E344" s="14"/>
      <c r="F344" s="14"/>
      <c r="G344" s="14"/>
      <c r="H344" s="14"/>
      <c r="Z344" s="2" t="str">
        <f>IF($B344&lt;&gt;"",INDEX(Config!$B$13:$AZ$76,MATCH($B344,Config!$B$13:$B$76,0),26),"")</f>
        <v/>
      </c>
      <c r="BA344" s="2" t="str">
        <f t="shared" si="14"/>
        <v/>
      </c>
    </row>
    <row r="345" spans="1:53" x14ac:dyDescent="0.15">
      <c r="A345" s="26" t="str">
        <f t="shared" si="13"/>
        <v/>
      </c>
      <c r="B345" s="14"/>
      <c r="C345" s="28" t="str">
        <f>IF(TRIM($B345)&lt;&gt;"",INDEX(Config!$B$13:$L$76,MATCH($B345,Config!$B$13:$B$76,0),2),"")</f>
        <v/>
      </c>
      <c r="D345" s="74"/>
      <c r="E345" s="14"/>
      <c r="F345" s="14"/>
      <c r="G345" s="14"/>
      <c r="H345" s="14"/>
      <c r="Z345" s="2" t="str">
        <f>IF($B345&lt;&gt;"",INDEX(Config!$B$13:$AZ$76,MATCH($B345,Config!$B$13:$B$76,0),26),"")</f>
        <v/>
      </c>
      <c r="BA345" s="2" t="str">
        <f t="shared" si="14"/>
        <v/>
      </c>
    </row>
    <row r="346" spans="1:53" x14ac:dyDescent="0.15">
      <c r="A346" s="26" t="str">
        <f t="shared" si="13"/>
        <v/>
      </c>
      <c r="B346" s="14"/>
      <c r="C346" s="28" t="str">
        <f>IF(TRIM($B346)&lt;&gt;"",INDEX(Config!$B$13:$L$76,MATCH($B346,Config!$B$13:$B$76,0),2),"")</f>
        <v/>
      </c>
      <c r="D346" s="74"/>
      <c r="E346" s="14"/>
      <c r="F346" s="14"/>
      <c r="G346" s="14"/>
      <c r="H346" s="14"/>
      <c r="Z346" s="2" t="str">
        <f>IF($B346&lt;&gt;"",INDEX(Config!$B$13:$AZ$76,MATCH($B346,Config!$B$13:$B$76,0),26),"")</f>
        <v/>
      </c>
      <c r="BA346" s="2" t="str">
        <f t="shared" si="14"/>
        <v/>
      </c>
    </row>
    <row r="347" spans="1:53" x14ac:dyDescent="0.15">
      <c r="A347" s="26" t="str">
        <f t="shared" si="13"/>
        <v/>
      </c>
      <c r="B347" s="14"/>
      <c r="C347" s="28" t="str">
        <f>IF(TRIM($B347)&lt;&gt;"",INDEX(Config!$B$13:$L$76,MATCH($B347,Config!$B$13:$B$76,0),2),"")</f>
        <v/>
      </c>
      <c r="D347" s="74"/>
      <c r="E347" s="14"/>
      <c r="F347" s="14"/>
      <c r="G347" s="14"/>
      <c r="H347" s="14"/>
      <c r="Z347" s="2" t="str">
        <f>IF($B347&lt;&gt;"",INDEX(Config!$B$13:$AZ$76,MATCH($B347,Config!$B$13:$B$76,0),26),"")</f>
        <v/>
      </c>
      <c r="BA347" s="2" t="str">
        <f t="shared" si="14"/>
        <v/>
      </c>
    </row>
    <row r="348" spans="1:53" x14ac:dyDescent="0.15">
      <c r="A348" s="26" t="str">
        <f t="shared" si="13"/>
        <v/>
      </c>
      <c r="B348" s="14"/>
      <c r="C348" s="28" t="str">
        <f>IF(TRIM($B348)&lt;&gt;"",INDEX(Config!$B$13:$L$76,MATCH($B348,Config!$B$13:$B$76,0),2),"")</f>
        <v/>
      </c>
      <c r="D348" s="74"/>
      <c r="E348" s="14"/>
      <c r="F348" s="14"/>
      <c r="G348" s="14"/>
      <c r="H348" s="14"/>
      <c r="Z348" s="2" t="str">
        <f>IF($B348&lt;&gt;"",INDEX(Config!$B$13:$AZ$76,MATCH($B348,Config!$B$13:$B$76,0),26),"")</f>
        <v/>
      </c>
      <c r="BA348" s="2" t="str">
        <f t="shared" si="14"/>
        <v/>
      </c>
    </row>
    <row r="349" spans="1:53" x14ac:dyDescent="0.15">
      <c r="A349" s="26" t="str">
        <f t="shared" si="13"/>
        <v/>
      </c>
      <c r="B349" s="14"/>
      <c r="C349" s="28" t="str">
        <f>IF(TRIM($B349)&lt;&gt;"",INDEX(Config!$B$13:$L$76,MATCH($B349,Config!$B$13:$B$76,0),2),"")</f>
        <v/>
      </c>
      <c r="D349" s="74"/>
      <c r="E349" s="14"/>
      <c r="F349" s="14"/>
      <c r="G349" s="14"/>
      <c r="H349" s="14"/>
      <c r="Z349" s="2" t="str">
        <f>IF($B349&lt;&gt;"",INDEX(Config!$B$13:$AZ$76,MATCH($B349,Config!$B$13:$B$76,0),26),"")</f>
        <v/>
      </c>
      <c r="BA349" s="2" t="str">
        <f t="shared" si="14"/>
        <v/>
      </c>
    </row>
    <row r="350" spans="1:53" x14ac:dyDescent="0.15">
      <c r="A350" s="26" t="str">
        <f t="shared" si="13"/>
        <v/>
      </c>
      <c r="B350" s="14"/>
      <c r="C350" s="28" t="str">
        <f>IF(TRIM($B350)&lt;&gt;"",INDEX(Config!$B$13:$L$76,MATCH($B350,Config!$B$13:$B$76,0),2),"")</f>
        <v/>
      </c>
      <c r="D350" s="74"/>
      <c r="E350" s="14"/>
      <c r="F350" s="14"/>
      <c r="G350" s="14"/>
      <c r="H350" s="14"/>
      <c r="Z350" s="2" t="str">
        <f>IF($B350&lt;&gt;"",INDEX(Config!$B$13:$AZ$76,MATCH($B350,Config!$B$13:$B$76,0),26),"")</f>
        <v/>
      </c>
      <c r="BA350" s="2" t="str">
        <f t="shared" si="14"/>
        <v/>
      </c>
    </row>
    <row r="351" spans="1:53" x14ac:dyDescent="0.15">
      <c r="A351" s="26" t="str">
        <f t="shared" si="13"/>
        <v/>
      </c>
      <c r="B351" s="14"/>
      <c r="C351" s="28" t="str">
        <f>IF(TRIM($B351)&lt;&gt;"",INDEX(Config!$B$13:$L$76,MATCH($B351,Config!$B$13:$B$76,0),2),"")</f>
        <v/>
      </c>
      <c r="D351" s="74"/>
      <c r="E351" s="14"/>
      <c r="F351" s="14"/>
      <c r="G351" s="14"/>
      <c r="H351" s="14"/>
      <c r="Z351" s="2" t="str">
        <f>IF($B351&lt;&gt;"",INDEX(Config!$B$13:$AZ$76,MATCH($B351,Config!$B$13:$B$76,0),26),"")</f>
        <v/>
      </c>
      <c r="BA351" s="2" t="str">
        <f t="shared" si="14"/>
        <v/>
      </c>
    </row>
    <row r="352" spans="1:53" x14ac:dyDescent="0.15">
      <c r="A352" s="26" t="str">
        <f t="shared" si="13"/>
        <v/>
      </c>
      <c r="B352" s="14"/>
      <c r="C352" s="28" t="str">
        <f>IF(TRIM($B352)&lt;&gt;"",INDEX(Config!$B$13:$L$76,MATCH($B352,Config!$B$13:$B$76,0),2),"")</f>
        <v/>
      </c>
      <c r="D352" s="74"/>
      <c r="E352" s="14"/>
      <c r="F352" s="14"/>
      <c r="G352" s="14"/>
      <c r="H352" s="14"/>
      <c r="Z352" s="2" t="str">
        <f>IF($B352&lt;&gt;"",INDEX(Config!$B$13:$AZ$76,MATCH($B352,Config!$B$13:$B$76,0),26),"")</f>
        <v/>
      </c>
      <c r="BA352" s="2" t="str">
        <f t="shared" si="14"/>
        <v/>
      </c>
    </row>
    <row r="353" spans="1:53" x14ac:dyDescent="0.15">
      <c r="A353" s="26" t="str">
        <f t="shared" si="13"/>
        <v/>
      </c>
      <c r="B353" s="14"/>
      <c r="C353" s="28" t="str">
        <f>IF(TRIM($B353)&lt;&gt;"",INDEX(Config!$B$13:$L$76,MATCH($B353,Config!$B$13:$B$76,0),2),"")</f>
        <v/>
      </c>
      <c r="D353" s="74"/>
      <c r="E353" s="14"/>
      <c r="F353" s="14"/>
      <c r="G353" s="14"/>
      <c r="H353" s="14"/>
      <c r="Z353" s="2" t="str">
        <f>IF($B353&lt;&gt;"",INDEX(Config!$B$13:$AZ$76,MATCH($B353,Config!$B$13:$B$76,0),26),"")</f>
        <v/>
      </c>
      <c r="BA353" s="2" t="str">
        <f t="shared" si="14"/>
        <v/>
      </c>
    </row>
    <row r="354" spans="1:53" x14ac:dyDescent="0.15">
      <c r="A354" s="26" t="str">
        <f t="shared" si="13"/>
        <v/>
      </c>
      <c r="B354" s="14"/>
      <c r="C354" s="28" t="str">
        <f>IF(TRIM($B354)&lt;&gt;"",INDEX(Config!$B$13:$L$76,MATCH($B354,Config!$B$13:$B$76,0),2),"")</f>
        <v/>
      </c>
      <c r="D354" s="74"/>
      <c r="E354" s="14"/>
      <c r="F354" s="14"/>
      <c r="G354" s="14"/>
      <c r="H354" s="14"/>
      <c r="Z354" s="2" t="str">
        <f>IF($B354&lt;&gt;"",INDEX(Config!$B$13:$AZ$76,MATCH($B354,Config!$B$13:$B$76,0),26),"")</f>
        <v/>
      </c>
      <c r="BA354" s="2" t="str">
        <f t="shared" si="14"/>
        <v/>
      </c>
    </row>
    <row r="355" spans="1:53" x14ac:dyDescent="0.15">
      <c r="A355" s="26" t="str">
        <f t="shared" si="13"/>
        <v/>
      </c>
      <c r="B355" s="14"/>
      <c r="C355" s="28" t="str">
        <f>IF(TRIM($B355)&lt;&gt;"",INDEX(Config!$B$13:$L$76,MATCH($B355,Config!$B$13:$B$76,0),2),"")</f>
        <v/>
      </c>
      <c r="D355" s="74"/>
      <c r="E355" s="14"/>
      <c r="F355" s="14"/>
      <c r="G355" s="14"/>
      <c r="H355" s="14"/>
      <c r="Z355" s="2" t="str">
        <f>IF($B355&lt;&gt;"",INDEX(Config!$B$13:$AZ$76,MATCH($B355,Config!$B$13:$B$76,0),26),"")</f>
        <v/>
      </c>
      <c r="BA355" s="2" t="str">
        <f t="shared" si="14"/>
        <v/>
      </c>
    </row>
    <row r="356" spans="1:53" x14ac:dyDescent="0.15">
      <c r="A356" s="26" t="str">
        <f t="shared" si="13"/>
        <v/>
      </c>
      <c r="B356" s="14"/>
      <c r="C356" s="28" t="str">
        <f>IF(TRIM($B356)&lt;&gt;"",INDEX(Config!$B$13:$L$76,MATCH($B356,Config!$B$13:$B$76,0),2),"")</f>
        <v/>
      </c>
      <c r="D356" s="74"/>
      <c r="E356" s="14"/>
      <c r="F356" s="14"/>
      <c r="G356" s="14"/>
      <c r="H356" s="14"/>
      <c r="Z356" s="2" t="str">
        <f>IF($B356&lt;&gt;"",INDEX(Config!$B$13:$AZ$76,MATCH($B356,Config!$B$13:$B$76,0),26),"")</f>
        <v/>
      </c>
      <c r="BA356" s="2" t="str">
        <f t="shared" si="14"/>
        <v/>
      </c>
    </row>
    <row r="357" spans="1:53" x14ac:dyDescent="0.15">
      <c r="A357" s="26" t="str">
        <f t="shared" si="13"/>
        <v/>
      </c>
      <c r="B357" s="14"/>
      <c r="C357" s="28" t="str">
        <f>IF(TRIM($B357)&lt;&gt;"",INDEX(Config!$B$13:$L$76,MATCH($B357,Config!$B$13:$B$76,0),2),"")</f>
        <v/>
      </c>
      <c r="D357" s="74"/>
      <c r="E357" s="14"/>
      <c r="F357" s="14"/>
      <c r="G357" s="14"/>
      <c r="H357" s="14"/>
      <c r="Z357" s="2" t="str">
        <f>IF($B357&lt;&gt;"",INDEX(Config!$B$13:$AZ$76,MATCH($B357,Config!$B$13:$B$76,0),26),"")</f>
        <v/>
      </c>
      <c r="BA357" s="2" t="str">
        <f t="shared" si="14"/>
        <v/>
      </c>
    </row>
    <row r="358" spans="1:53" x14ac:dyDescent="0.15">
      <c r="A358" s="26" t="str">
        <f t="shared" si="13"/>
        <v/>
      </c>
      <c r="B358" s="14"/>
      <c r="C358" s="28" t="str">
        <f>IF(TRIM($B358)&lt;&gt;"",INDEX(Config!$B$13:$L$76,MATCH($B358,Config!$B$13:$B$76,0),2),"")</f>
        <v/>
      </c>
      <c r="D358" s="74"/>
      <c r="E358" s="14"/>
      <c r="F358" s="14"/>
      <c r="G358" s="14"/>
      <c r="H358" s="14"/>
      <c r="Z358" s="2" t="str">
        <f>IF($B358&lt;&gt;"",INDEX(Config!$B$13:$AZ$76,MATCH($B358,Config!$B$13:$B$76,0),26),"")</f>
        <v/>
      </c>
      <c r="BA358" s="2" t="str">
        <f t="shared" si="14"/>
        <v/>
      </c>
    </row>
    <row r="359" spans="1:53" x14ac:dyDescent="0.15">
      <c r="A359" s="26" t="str">
        <f t="shared" si="13"/>
        <v/>
      </c>
      <c r="B359" s="14"/>
      <c r="C359" s="28" t="str">
        <f>IF(TRIM($B359)&lt;&gt;"",INDEX(Config!$B$13:$L$76,MATCH($B359,Config!$B$13:$B$76,0),2),"")</f>
        <v/>
      </c>
      <c r="D359" s="74"/>
      <c r="E359" s="14"/>
      <c r="F359" s="14"/>
      <c r="G359" s="14"/>
      <c r="H359" s="14"/>
      <c r="Z359" s="2" t="str">
        <f>IF($B359&lt;&gt;"",INDEX(Config!$B$13:$AZ$76,MATCH($B359,Config!$B$13:$B$76,0),26),"")</f>
        <v/>
      </c>
      <c r="BA359" s="2" t="str">
        <f t="shared" si="14"/>
        <v/>
      </c>
    </row>
    <row r="360" spans="1:53" x14ac:dyDescent="0.15">
      <c r="A360" s="26" t="str">
        <f t="shared" si="13"/>
        <v/>
      </c>
      <c r="B360" s="14"/>
      <c r="C360" s="28" t="str">
        <f>IF(TRIM($B360)&lt;&gt;"",INDEX(Config!$B$13:$L$76,MATCH($B360,Config!$B$13:$B$76,0),2),"")</f>
        <v/>
      </c>
      <c r="D360" s="74"/>
      <c r="E360" s="14"/>
      <c r="F360" s="14"/>
      <c r="G360" s="14"/>
      <c r="H360" s="14"/>
      <c r="Z360" s="2" t="str">
        <f>IF($B360&lt;&gt;"",INDEX(Config!$B$13:$AZ$76,MATCH($B360,Config!$B$13:$B$76,0),26),"")</f>
        <v/>
      </c>
      <c r="BA360" s="2" t="str">
        <f t="shared" si="14"/>
        <v/>
      </c>
    </row>
    <row r="361" spans="1:53" x14ac:dyDescent="0.15">
      <c r="A361" s="26" t="str">
        <f t="shared" si="13"/>
        <v/>
      </c>
      <c r="B361" s="14"/>
      <c r="C361" s="28" t="str">
        <f>IF(TRIM($B361)&lt;&gt;"",INDEX(Config!$B$13:$L$76,MATCH($B361,Config!$B$13:$B$76,0),2),"")</f>
        <v/>
      </c>
      <c r="D361" s="74"/>
      <c r="E361" s="14"/>
      <c r="F361" s="14"/>
      <c r="G361" s="14"/>
      <c r="H361" s="14"/>
      <c r="Z361" s="2" t="str">
        <f>IF($B361&lt;&gt;"",INDEX(Config!$B$13:$AZ$76,MATCH($B361,Config!$B$13:$B$76,0),26),"")</f>
        <v/>
      </c>
      <c r="BA361" s="2" t="str">
        <f t="shared" si="14"/>
        <v/>
      </c>
    </row>
    <row r="362" spans="1:53" x14ac:dyDescent="0.15">
      <c r="A362" s="26" t="str">
        <f t="shared" si="13"/>
        <v/>
      </c>
      <c r="B362" s="14"/>
      <c r="C362" s="28" t="str">
        <f>IF(TRIM($B362)&lt;&gt;"",INDEX(Config!$B$13:$L$76,MATCH($B362,Config!$B$13:$B$76,0),2),"")</f>
        <v/>
      </c>
      <c r="D362" s="74"/>
      <c r="E362" s="14"/>
      <c r="F362" s="14"/>
      <c r="G362" s="14"/>
      <c r="H362" s="14"/>
      <c r="Z362" s="2" t="str">
        <f>IF($B362&lt;&gt;"",INDEX(Config!$B$13:$AZ$76,MATCH($B362,Config!$B$13:$B$76,0),26),"")</f>
        <v/>
      </c>
      <c r="BA362" s="2" t="str">
        <f t="shared" si="14"/>
        <v/>
      </c>
    </row>
    <row r="363" spans="1:53" x14ac:dyDescent="0.15">
      <c r="A363" s="26" t="str">
        <f t="shared" si="13"/>
        <v/>
      </c>
      <c r="B363" s="14"/>
      <c r="C363" s="28" t="str">
        <f>IF(TRIM($B363)&lt;&gt;"",INDEX(Config!$B$13:$L$76,MATCH($B363,Config!$B$13:$B$76,0),2),"")</f>
        <v/>
      </c>
      <c r="D363" s="74"/>
      <c r="E363" s="14"/>
      <c r="F363" s="14"/>
      <c r="G363" s="14"/>
      <c r="H363" s="14"/>
      <c r="Z363" s="2" t="str">
        <f>IF($B363&lt;&gt;"",INDEX(Config!$B$13:$AZ$76,MATCH($B363,Config!$B$13:$B$76,0),26),"")</f>
        <v/>
      </c>
      <c r="BA363" s="2" t="str">
        <f t="shared" si="14"/>
        <v/>
      </c>
    </row>
    <row r="364" spans="1:53" x14ac:dyDescent="0.15">
      <c r="A364" s="26" t="str">
        <f t="shared" si="13"/>
        <v/>
      </c>
      <c r="B364" s="14"/>
      <c r="C364" s="28" t="str">
        <f>IF(TRIM($B364)&lt;&gt;"",INDEX(Config!$B$13:$L$76,MATCH($B364,Config!$B$13:$B$76,0),2),"")</f>
        <v/>
      </c>
      <c r="D364" s="74"/>
      <c r="E364" s="14"/>
      <c r="F364" s="14"/>
      <c r="G364" s="14"/>
      <c r="H364" s="14"/>
      <c r="Z364" s="2" t="str">
        <f>IF($B364&lt;&gt;"",INDEX(Config!$B$13:$AZ$76,MATCH($B364,Config!$B$13:$B$76,0),26),"")</f>
        <v/>
      </c>
      <c r="BA364" s="2" t="str">
        <f t="shared" si="14"/>
        <v/>
      </c>
    </row>
    <row r="365" spans="1:53" x14ac:dyDescent="0.15">
      <c r="A365" s="26" t="str">
        <f t="shared" si="13"/>
        <v/>
      </c>
      <c r="B365" s="14"/>
      <c r="C365" s="28" t="str">
        <f>IF(TRIM($B365)&lt;&gt;"",INDEX(Config!$B$13:$L$76,MATCH($B365,Config!$B$13:$B$76,0),2),"")</f>
        <v/>
      </c>
      <c r="D365" s="74"/>
      <c r="E365" s="14"/>
      <c r="F365" s="14"/>
      <c r="G365" s="14"/>
      <c r="H365" s="14"/>
      <c r="Z365" s="2" t="str">
        <f>IF($B365&lt;&gt;"",INDEX(Config!$B$13:$AZ$76,MATCH($B365,Config!$B$13:$B$76,0),26),"")</f>
        <v/>
      </c>
      <c r="BA365" s="2" t="str">
        <f t="shared" si="14"/>
        <v/>
      </c>
    </row>
    <row r="366" spans="1:53" x14ac:dyDescent="0.15">
      <c r="A366" s="26" t="str">
        <f t="shared" si="13"/>
        <v/>
      </c>
      <c r="B366" s="14"/>
      <c r="C366" s="28" t="str">
        <f>IF(TRIM($B366)&lt;&gt;"",INDEX(Config!$B$13:$L$76,MATCH($B366,Config!$B$13:$B$76,0),2),"")</f>
        <v/>
      </c>
      <c r="D366" s="74"/>
      <c r="E366" s="14"/>
      <c r="F366" s="14"/>
      <c r="G366" s="14"/>
      <c r="H366" s="14"/>
      <c r="Z366" s="2" t="str">
        <f>IF($B366&lt;&gt;"",INDEX(Config!$B$13:$AZ$76,MATCH($B366,Config!$B$13:$B$76,0),26),"")</f>
        <v/>
      </c>
      <c r="BA366" s="2" t="str">
        <f t="shared" si="14"/>
        <v/>
      </c>
    </row>
    <row r="367" spans="1:53" x14ac:dyDescent="0.15">
      <c r="A367" s="26" t="str">
        <f t="shared" si="13"/>
        <v/>
      </c>
      <c r="B367" s="14"/>
      <c r="C367" s="28" t="str">
        <f>IF(TRIM($B367)&lt;&gt;"",INDEX(Config!$B$13:$L$76,MATCH($B367,Config!$B$13:$B$76,0),2),"")</f>
        <v/>
      </c>
      <c r="D367" s="74"/>
      <c r="E367" s="14"/>
      <c r="F367" s="14"/>
      <c r="G367" s="14"/>
      <c r="H367" s="14"/>
      <c r="Z367" s="2" t="str">
        <f>IF($B367&lt;&gt;"",INDEX(Config!$B$13:$AZ$76,MATCH($B367,Config!$B$13:$B$76,0),26),"")</f>
        <v/>
      </c>
      <c r="BA367" s="2" t="str">
        <f t="shared" si="14"/>
        <v/>
      </c>
    </row>
    <row r="368" spans="1:53" x14ac:dyDescent="0.15">
      <c r="A368" s="26" t="str">
        <f t="shared" si="13"/>
        <v/>
      </c>
      <c r="B368" s="14"/>
      <c r="C368" s="28" t="str">
        <f>IF(TRIM($B368)&lt;&gt;"",INDEX(Config!$B$13:$L$76,MATCH($B368,Config!$B$13:$B$76,0),2),"")</f>
        <v/>
      </c>
      <c r="D368" s="74"/>
      <c r="E368" s="14"/>
      <c r="F368" s="14"/>
      <c r="G368" s="14"/>
      <c r="H368" s="14"/>
      <c r="Z368" s="2" t="str">
        <f>IF($B368&lt;&gt;"",INDEX(Config!$B$13:$AZ$76,MATCH($B368,Config!$B$13:$B$76,0),26),"")</f>
        <v/>
      </c>
      <c r="BA368" s="2" t="str">
        <f t="shared" si="14"/>
        <v/>
      </c>
    </row>
    <row r="369" spans="1:53" x14ac:dyDescent="0.15">
      <c r="A369" s="26" t="str">
        <f t="shared" si="13"/>
        <v/>
      </c>
      <c r="B369" s="14"/>
      <c r="C369" s="28" t="str">
        <f>IF(TRIM($B369)&lt;&gt;"",INDEX(Config!$B$13:$L$76,MATCH($B369,Config!$B$13:$B$76,0),2),"")</f>
        <v/>
      </c>
      <c r="D369" s="74"/>
      <c r="E369" s="14"/>
      <c r="F369" s="14"/>
      <c r="G369" s="14"/>
      <c r="H369" s="14"/>
      <c r="Z369" s="2" t="str">
        <f>IF($B369&lt;&gt;"",INDEX(Config!$B$13:$AZ$76,MATCH($B369,Config!$B$13:$B$76,0),26),"")</f>
        <v/>
      </c>
      <c r="BA369" s="2" t="str">
        <f t="shared" si="14"/>
        <v/>
      </c>
    </row>
    <row r="370" spans="1:53" x14ac:dyDescent="0.15">
      <c r="A370" s="26" t="str">
        <f t="shared" si="13"/>
        <v/>
      </c>
      <c r="B370" s="14"/>
      <c r="C370" s="28" t="str">
        <f>IF(TRIM($B370)&lt;&gt;"",INDEX(Config!$B$13:$L$76,MATCH($B370,Config!$B$13:$B$76,0),2),"")</f>
        <v/>
      </c>
      <c r="D370" s="74"/>
      <c r="E370" s="14"/>
      <c r="F370" s="14"/>
      <c r="G370" s="14"/>
      <c r="H370" s="14"/>
      <c r="Z370" s="2" t="str">
        <f>IF($B370&lt;&gt;"",INDEX(Config!$B$13:$AZ$76,MATCH($B370,Config!$B$13:$B$76,0),26),"")</f>
        <v/>
      </c>
      <c r="BA370" s="2" t="str">
        <f t="shared" si="14"/>
        <v/>
      </c>
    </row>
    <row r="371" spans="1:53" x14ac:dyDescent="0.15">
      <c r="A371" s="26" t="str">
        <f t="shared" si="13"/>
        <v/>
      </c>
      <c r="B371" s="14"/>
      <c r="C371" s="28" t="str">
        <f>IF(TRIM($B371)&lt;&gt;"",INDEX(Config!$B$13:$L$76,MATCH($B371,Config!$B$13:$B$76,0),2),"")</f>
        <v/>
      </c>
      <c r="D371" s="74"/>
      <c r="E371" s="14"/>
      <c r="F371" s="14"/>
      <c r="G371" s="14"/>
      <c r="H371" s="14"/>
      <c r="Z371" s="2" t="str">
        <f>IF($B371&lt;&gt;"",INDEX(Config!$B$13:$AZ$76,MATCH($B371,Config!$B$13:$B$76,0),26),"")</f>
        <v/>
      </c>
      <c r="BA371" s="2" t="str">
        <f t="shared" si="14"/>
        <v/>
      </c>
    </row>
    <row r="372" spans="1:53" x14ac:dyDescent="0.15">
      <c r="A372" s="26" t="str">
        <f t="shared" si="13"/>
        <v/>
      </c>
      <c r="B372" s="14"/>
      <c r="C372" s="28" t="str">
        <f>IF(TRIM($B372)&lt;&gt;"",INDEX(Config!$B$13:$L$76,MATCH($B372,Config!$B$13:$B$76,0),2),"")</f>
        <v/>
      </c>
      <c r="D372" s="74"/>
      <c r="E372" s="14"/>
      <c r="F372" s="14"/>
      <c r="G372" s="14"/>
      <c r="H372" s="14"/>
      <c r="Z372" s="2" t="str">
        <f>IF($B372&lt;&gt;"",INDEX(Config!$B$13:$AZ$76,MATCH($B372,Config!$B$13:$B$76,0),26),"")</f>
        <v/>
      </c>
      <c r="BA372" s="2" t="str">
        <f t="shared" si="14"/>
        <v/>
      </c>
    </row>
    <row r="373" spans="1:53" x14ac:dyDescent="0.15">
      <c r="A373" s="26" t="str">
        <f t="shared" si="13"/>
        <v/>
      </c>
      <c r="B373" s="14"/>
      <c r="C373" s="28" t="str">
        <f>IF(TRIM($B373)&lt;&gt;"",INDEX(Config!$B$13:$L$76,MATCH($B373,Config!$B$13:$B$76,0),2),"")</f>
        <v/>
      </c>
      <c r="D373" s="74"/>
      <c r="E373" s="14"/>
      <c r="F373" s="14"/>
      <c r="G373" s="14"/>
      <c r="H373" s="14"/>
      <c r="Z373" s="2" t="str">
        <f>IF($B373&lt;&gt;"",INDEX(Config!$B$13:$AZ$76,MATCH($B373,Config!$B$13:$B$76,0),26),"")</f>
        <v/>
      </c>
      <c r="BA373" s="2" t="str">
        <f t="shared" si="14"/>
        <v/>
      </c>
    </row>
    <row r="374" spans="1:53" x14ac:dyDescent="0.15">
      <c r="A374" s="26" t="str">
        <f t="shared" si="13"/>
        <v/>
      </c>
      <c r="B374" s="14"/>
      <c r="C374" s="28" t="str">
        <f>IF(TRIM($B374)&lt;&gt;"",INDEX(Config!$B$13:$L$76,MATCH($B374,Config!$B$13:$B$76,0),2),"")</f>
        <v/>
      </c>
      <c r="D374" s="74"/>
      <c r="E374" s="14"/>
      <c r="F374" s="14"/>
      <c r="G374" s="14"/>
      <c r="H374" s="14"/>
      <c r="Z374" s="2" t="str">
        <f>IF($B374&lt;&gt;"",INDEX(Config!$B$13:$AZ$76,MATCH($B374,Config!$B$13:$B$76,0),26),"")</f>
        <v/>
      </c>
      <c r="BA374" s="2" t="str">
        <f t="shared" si="14"/>
        <v/>
      </c>
    </row>
    <row r="375" spans="1:53" x14ac:dyDescent="0.15">
      <c r="A375" s="26" t="str">
        <f t="shared" si="13"/>
        <v/>
      </c>
      <c r="B375" s="14"/>
      <c r="C375" s="28" t="str">
        <f>IF(TRIM($B375)&lt;&gt;"",INDEX(Config!$B$13:$L$76,MATCH($B375,Config!$B$13:$B$76,0),2),"")</f>
        <v/>
      </c>
      <c r="D375" s="74"/>
      <c r="E375" s="14"/>
      <c r="F375" s="14"/>
      <c r="G375" s="14"/>
      <c r="H375" s="14"/>
      <c r="Z375" s="2" t="str">
        <f>IF($B375&lt;&gt;"",INDEX(Config!$B$13:$AZ$76,MATCH($B375,Config!$B$13:$B$76,0),26),"")</f>
        <v/>
      </c>
      <c r="BA375" s="2" t="str">
        <f t="shared" si="14"/>
        <v/>
      </c>
    </row>
    <row r="376" spans="1:53" x14ac:dyDescent="0.15">
      <c r="A376" s="26" t="str">
        <f t="shared" si="13"/>
        <v/>
      </c>
      <c r="B376" s="14"/>
      <c r="C376" s="28" t="str">
        <f>IF(TRIM($B376)&lt;&gt;"",INDEX(Config!$B$13:$L$76,MATCH($B376,Config!$B$13:$B$76,0),2),"")</f>
        <v/>
      </c>
      <c r="D376" s="74"/>
      <c r="E376" s="14"/>
      <c r="F376" s="14"/>
      <c r="G376" s="14"/>
      <c r="H376" s="14"/>
      <c r="Z376" s="2" t="str">
        <f>IF($B376&lt;&gt;"",INDEX(Config!$B$13:$AZ$76,MATCH($B376,Config!$B$13:$B$76,0),26),"")</f>
        <v/>
      </c>
      <c r="BA376" s="2" t="str">
        <f t="shared" si="14"/>
        <v/>
      </c>
    </row>
    <row r="377" spans="1:53" x14ac:dyDescent="0.15">
      <c r="A377" s="26" t="str">
        <f t="shared" si="13"/>
        <v/>
      </c>
      <c r="B377" s="14"/>
      <c r="C377" s="28" t="str">
        <f>IF(TRIM($B377)&lt;&gt;"",INDEX(Config!$B$13:$L$76,MATCH($B377,Config!$B$13:$B$76,0),2),"")</f>
        <v/>
      </c>
      <c r="D377" s="74"/>
      <c r="E377" s="14"/>
      <c r="F377" s="14"/>
      <c r="G377" s="14"/>
      <c r="H377" s="14"/>
      <c r="Z377" s="2" t="str">
        <f>IF($B377&lt;&gt;"",INDEX(Config!$B$13:$AZ$76,MATCH($B377,Config!$B$13:$B$76,0),26),"")</f>
        <v/>
      </c>
      <c r="BA377" s="2" t="str">
        <f t="shared" si="14"/>
        <v/>
      </c>
    </row>
    <row r="378" spans="1:53" x14ac:dyDescent="0.15">
      <c r="A378" s="26" t="str">
        <f t="shared" si="13"/>
        <v/>
      </c>
      <c r="B378" s="14"/>
      <c r="C378" s="28" t="str">
        <f>IF(TRIM($B378)&lt;&gt;"",INDEX(Config!$B$13:$L$76,MATCH($B378,Config!$B$13:$B$76,0),2),"")</f>
        <v/>
      </c>
      <c r="D378" s="74"/>
      <c r="E378" s="14"/>
      <c r="F378" s="14"/>
      <c r="G378" s="14"/>
      <c r="H378" s="14"/>
      <c r="Z378" s="2" t="str">
        <f>IF($B378&lt;&gt;"",INDEX(Config!$B$13:$AZ$76,MATCH($B378,Config!$B$13:$B$76,0),26),"")</f>
        <v/>
      </c>
      <c r="BA378" s="2" t="str">
        <f t="shared" si="14"/>
        <v/>
      </c>
    </row>
    <row r="379" spans="1:53" x14ac:dyDescent="0.15">
      <c r="A379" s="26" t="str">
        <f t="shared" si="13"/>
        <v/>
      </c>
      <c r="B379" s="14"/>
      <c r="C379" s="28" t="str">
        <f>IF(TRIM($B379)&lt;&gt;"",INDEX(Config!$B$13:$L$76,MATCH($B379,Config!$B$13:$B$76,0),2),"")</f>
        <v/>
      </c>
      <c r="D379" s="74"/>
      <c r="E379" s="14"/>
      <c r="F379" s="14"/>
      <c r="G379" s="14"/>
      <c r="H379" s="14"/>
      <c r="Z379" s="2" t="str">
        <f>IF($B379&lt;&gt;"",INDEX(Config!$B$13:$AZ$76,MATCH($B379,Config!$B$13:$B$76,0),26),"")</f>
        <v/>
      </c>
      <c r="BA379" s="2" t="str">
        <f t="shared" si="14"/>
        <v/>
      </c>
    </row>
    <row r="380" spans="1:53" x14ac:dyDescent="0.15">
      <c r="A380" s="26" t="str">
        <f t="shared" si="13"/>
        <v/>
      </c>
      <c r="B380" s="14"/>
      <c r="C380" s="28" t="str">
        <f>IF(TRIM($B380)&lt;&gt;"",INDEX(Config!$B$13:$L$76,MATCH($B380,Config!$B$13:$B$76,0),2),"")</f>
        <v/>
      </c>
      <c r="D380" s="74"/>
      <c r="E380" s="14"/>
      <c r="F380" s="14"/>
      <c r="G380" s="14"/>
      <c r="H380" s="14"/>
      <c r="Z380" s="2" t="str">
        <f>IF($B380&lt;&gt;"",INDEX(Config!$B$13:$AZ$76,MATCH($B380,Config!$B$13:$B$76,0),26),"")</f>
        <v/>
      </c>
      <c r="BA380" s="2" t="str">
        <f t="shared" si="14"/>
        <v/>
      </c>
    </row>
    <row r="381" spans="1:53" x14ac:dyDescent="0.15">
      <c r="A381" s="26" t="str">
        <f t="shared" si="13"/>
        <v/>
      </c>
      <c r="B381" s="14"/>
      <c r="C381" s="28" t="str">
        <f>IF(TRIM($B381)&lt;&gt;"",INDEX(Config!$B$13:$L$76,MATCH($B381,Config!$B$13:$B$76,0),2),"")</f>
        <v/>
      </c>
      <c r="D381" s="74"/>
      <c r="E381" s="14"/>
      <c r="F381" s="14"/>
      <c r="G381" s="14"/>
      <c r="H381" s="14"/>
      <c r="Z381" s="2" t="str">
        <f>IF($B381&lt;&gt;"",INDEX(Config!$B$13:$AZ$76,MATCH($B381,Config!$B$13:$B$76,0),26),"")</f>
        <v/>
      </c>
      <c r="BA381" s="2" t="str">
        <f t="shared" si="14"/>
        <v/>
      </c>
    </row>
    <row r="382" spans="1:53" x14ac:dyDescent="0.15">
      <c r="A382" s="26" t="str">
        <f t="shared" si="13"/>
        <v/>
      </c>
      <c r="B382" s="14"/>
      <c r="C382" s="28" t="str">
        <f>IF(TRIM($B382)&lt;&gt;"",INDEX(Config!$B$13:$L$76,MATCH($B382,Config!$B$13:$B$76,0),2),"")</f>
        <v/>
      </c>
      <c r="D382" s="74"/>
      <c r="E382" s="14"/>
      <c r="F382" s="14"/>
      <c r="G382" s="14"/>
      <c r="H382" s="14"/>
      <c r="Z382" s="2" t="str">
        <f>IF($B382&lt;&gt;"",INDEX(Config!$B$13:$AZ$76,MATCH($B382,Config!$B$13:$B$76,0),26),"")</f>
        <v/>
      </c>
      <c r="BA382" s="2" t="str">
        <f t="shared" si="14"/>
        <v/>
      </c>
    </row>
    <row r="383" spans="1:53" x14ac:dyDescent="0.15">
      <c r="A383" s="26" t="str">
        <f t="shared" si="13"/>
        <v/>
      </c>
      <c r="B383" s="14"/>
      <c r="C383" s="28" t="str">
        <f>IF(TRIM($B383)&lt;&gt;"",INDEX(Config!$B$13:$L$76,MATCH($B383,Config!$B$13:$B$76,0),2),"")</f>
        <v/>
      </c>
      <c r="D383" s="74"/>
      <c r="E383" s="14"/>
      <c r="F383" s="14"/>
      <c r="G383" s="14"/>
      <c r="H383" s="14"/>
      <c r="Z383" s="2" t="str">
        <f>IF($B383&lt;&gt;"",INDEX(Config!$B$13:$AZ$76,MATCH($B383,Config!$B$13:$B$76,0),26),"")</f>
        <v/>
      </c>
      <c r="BA383" s="2" t="str">
        <f t="shared" si="14"/>
        <v/>
      </c>
    </row>
    <row r="384" spans="1:53" x14ac:dyDescent="0.15">
      <c r="A384" s="26" t="str">
        <f t="shared" si="13"/>
        <v/>
      </c>
      <c r="B384" s="14"/>
      <c r="C384" s="28" t="str">
        <f>IF(TRIM($B384)&lt;&gt;"",INDEX(Config!$B$13:$L$76,MATCH($B384,Config!$B$13:$B$76,0),2),"")</f>
        <v/>
      </c>
      <c r="D384" s="74"/>
      <c r="E384" s="14"/>
      <c r="F384" s="14"/>
      <c r="G384" s="14"/>
      <c r="H384" s="14"/>
      <c r="Z384" s="2" t="str">
        <f>IF($B384&lt;&gt;"",INDEX(Config!$B$13:$AZ$76,MATCH($B384,Config!$B$13:$B$76,0),26),"")</f>
        <v/>
      </c>
      <c r="BA384" s="2" t="str">
        <f t="shared" si="14"/>
        <v/>
      </c>
    </row>
    <row r="385" spans="1:53" x14ac:dyDescent="0.15">
      <c r="A385" s="26" t="str">
        <f t="shared" si="13"/>
        <v/>
      </c>
      <c r="B385" s="14"/>
      <c r="C385" s="28" t="str">
        <f>IF(TRIM($B385)&lt;&gt;"",INDEX(Config!$B$13:$L$76,MATCH($B385,Config!$B$13:$B$76,0),2),"")</f>
        <v/>
      </c>
      <c r="D385" s="74"/>
      <c r="E385" s="14"/>
      <c r="F385" s="14"/>
      <c r="G385" s="14"/>
      <c r="H385" s="14"/>
      <c r="Z385" s="2" t="str">
        <f>IF($B385&lt;&gt;"",INDEX(Config!$B$13:$AZ$76,MATCH($B385,Config!$B$13:$B$76,0),26),"")</f>
        <v/>
      </c>
      <c r="BA385" s="2" t="str">
        <f t="shared" si="14"/>
        <v/>
      </c>
    </row>
    <row r="386" spans="1:53" x14ac:dyDescent="0.15">
      <c r="A386" s="26" t="str">
        <f t="shared" si="13"/>
        <v/>
      </c>
      <c r="B386" s="14"/>
      <c r="C386" s="28" t="str">
        <f>IF(TRIM($B386)&lt;&gt;"",INDEX(Config!$B$13:$L$76,MATCH($B386,Config!$B$13:$B$76,0),2),"")</f>
        <v/>
      </c>
      <c r="D386" s="74"/>
      <c r="E386" s="14"/>
      <c r="F386" s="14"/>
      <c r="G386" s="14"/>
      <c r="H386" s="14"/>
      <c r="Z386" s="2" t="str">
        <f>IF($B386&lt;&gt;"",INDEX(Config!$B$13:$AZ$76,MATCH($B386,Config!$B$13:$B$76,0),26),"")</f>
        <v/>
      </c>
      <c r="BA386" s="2" t="str">
        <f t="shared" si="14"/>
        <v/>
      </c>
    </row>
    <row r="387" spans="1:53" x14ac:dyDescent="0.15">
      <c r="A387" s="26" t="str">
        <f t="shared" si="13"/>
        <v/>
      </c>
      <c r="B387" s="14"/>
      <c r="C387" s="28" t="str">
        <f>IF(TRIM($B387)&lt;&gt;"",INDEX(Config!$B$13:$L$76,MATCH($B387,Config!$B$13:$B$76,0),2),"")</f>
        <v/>
      </c>
      <c r="D387" s="74"/>
      <c r="E387" s="14"/>
      <c r="F387" s="14"/>
      <c r="G387" s="14"/>
      <c r="H387" s="14"/>
      <c r="Z387" s="2" t="str">
        <f>IF($B387&lt;&gt;"",INDEX(Config!$B$13:$AZ$76,MATCH($B387,Config!$B$13:$B$76,0),26),"")</f>
        <v/>
      </c>
      <c r="BA387" s="2" t="str">
        <f t="shared" si="14"/>
        <v/>
      </c>
    </row>
    <row r="388" spans="1:53" x14ac:dyDescent="0.15">
      <c r="A388" s="26" t="str">
        <f t="shared" si="13"/>
        <v/>
      </c>
      <c r="B388" s="14"/>
      <c r="C388" s="28" t="str">
        <f>IF(TRIM($B388)&lt;&gt;"",INDEX(Config!$B$13:$L$76,MATCH($B388,Config!$B$13:$B$76,0),2),"")</f>
        <v/>
      </c>
      <c r="D388" s="74"/>
      <c r="E388" s="14"/>
      <c r="F388" s="14"/>
      <c r="G388" s="14"/>
      <c r="H388" s="14"/>
      <c r="Z388" s="2" t="str">
        <f>IF($B388&lt;&gt;"",INDEX(Config!$B$13:$AZ$76,MATCH($B388,Config!$B$13:$B$76,0),26),"")</f>
        <v/>
      </c>
      <c r="BA388" s="2" t="str">
        <f t="shared" si="14"/>
        <v/>
      </c>
    </row>
    <row r="389" spans="1:53" x14ac:dyDescent="0.15">
      <c r="A389" s="26" t="str">
        <f t="shared" si="13"/>
        <v/>
      </c>
      <c r="B389" s="14"/>
      <c r="C389" s="28" t="str">
        <f>IF(TRIM($B389)&lt;&gt;"",INDEX(Config!$B$13:$L$76,MATCH($B389,Config!$B$13:$B$76,0),2),"")</f>
        <v/>
      </c>
      <c r="D389" s="74"/>
      <c r="E389" s="14"/>
      <c r="F389" s="14"/>
      <c r="G389" s="14"/>
      <c r="H389" s="14"/>
      <c r="Z389" s="2" t="str">
        <f>IF($B389&lt;&gt;"",INDEX(Config!$B$13:$AZ$76,MATCH($B389,Config!$B$13:$B$76,0),26),"")</f>
        <v/>
      </c>
      <c r="BA389" s="2" t="str">
        <f t="shared" si="14"/>
        <v/>
      </c>
    </row>
    <row r="390" spans="1:53" x14ac:dyDescent="0.15">
      <c r="A390" s="26" t="str">
        <f t="shared" si="13"/>
        <v/>
      </c>
      <c r="B390" s="14"/>
      <c r="C390" s="28" t="str">
        <f>IF(TRIM($B390)&lt;&gt;"",INDEX(Config!$B$13:$L$76,MATCH($B390,Config!$B$13:$B$76,0),2),"")</f>
        <v/>
      </c>
      <c r="D390" s="74"/>
      <c r="E390" s="14"/>
      <c r="F390" s="14"/>
      <c r="G390" s="14"/>
      <c r="H390" s="14"/>
      <c r="Z390" s="2" t="str">
        <f>IF($B390&lt;&gt;"",INDEX(Config!$B$13:$AZ$76,MATCH($B390,Config!$B$13:$B$76,0),26),"")</f>
        <v/>
      </c>
      <c r="BA390" s="2" t="str">
        <f t="shared" si="14"/>
        <v/>
      </c>
    </row>
    <row r="391" spans="1:53" x14ac:dyDescent="0.15">
      <c r="A391" s="26" t="str">
        <f t="shared" si="13"/>
        <v/>
      </c>
      <c r="B391" s="14"/>
      <c r="C391" s="28" t="str">
        <f>IF(TRIM($B391)&lt;&gt;"",INDEX(Config!$B$13:$L$76,MATCH($B391,Config!$B$13:$B$76,0),2),"")</f>
        <v/>
      </c>
      <c r="D391" s="74"/>
      <c r="E391" s="14"/>
      <c r="F391" s="14"/>
      <c r="G391" s="14"/>
      <c r="H391" s="14"/>
      <c r="Z391" s="2" t="str">
        <f>IF($B391&lt;&gt;"",INDEX(Config!$B$13:$AZ$76,MATCH($B391,Config!$B$13:$B$76,0),26),"")</f>
        <v/>
      </c>
      <c r="BA391" s="2" t="str">
        <f t="shared" si="14"/>
        <v/>
      </c>
    </row>
    <row r="392" spans="1:53" x14ac:dyDescent="0.15">
      <c r="A392" s="26" t="str">
        <f t="shared" ref="A392:A455" si="15">IF(B392&lt;&gt;"","#"&amp;ROW()-1,"")</f>
        <v/>
      </c>
      <c r="B392" s="14"/>
      <c r="C392" s="28" t="str">
        <f>IF(TRIM($B392)&lt;&gt;"",INDEX(Config!$B$13:$L$76,MATCH($B392,Config!$B$13:$B$76,0),2),"")</f>
        <v/>
      </c>
      <c r="D392" s="74"/>
      <c r="E392" s="14"/>
      <c r="F392" s="14"/>
      <c r="G392" s="14"/>
      <c r="H392" s="14"/>
      <c r="Z392" s="2" t="str">
        <f>IF($B392&lt;&gt;"",INDEX(Config!$B$13:$AZ$76,MATCH($B392,Config!$B$13:$B$76,0),26),"")</f>
        <v/>
      </c>
      <c r="BA392" s="2" t="str">
        <f t="shared" ref="BA392:BA455" si="16">IF($B392&lt;&gt;"",ROW()-1,"")</f>
        <v/>
      </c>
    </row>
    <row r="393" spans="1:53" x14ac:dyDescent="0.15">
      <c r="A393" s="26" t="str">
        <f t="shared" si="15"/>
        <v/>
      </c>
      <c r="B393" s="14"/>
      <c r="C393" s="28" t="str">
        <f>IF(TRIM($B393)&lt;&gt;"",INDEX(Config!$B$13:$L$76,MATCH($B393,Config!$B$13:$B$76,0),2),"")</f>
        <v/>
      </c>
      <c r="D393" s="74"/>
      <c r="E393" s="14"/>
      <c r="F393" s="14"/>
      <c r="G393" s="14"/>
      <c r="H393" s="14"/>
      <c r="Z393" s="2" t="str">
        <f>IF($B393&lt;&gt;"",INDEX(Config!$B$13:$AZ$76,MATCH($B393,Config!$B$13:$B$76,0),26),"")</f>
        <v/>
      </c>
      <c r="BA393" s="2" t="str">
        <f t="shared" si="16"/>
        <v/>
      </c>
    </row>
    <row r="394" spans="1:53" x14ac:dyDescent="0.15">
      <c r="A394" s="26" t="str">
        <f t="shared" si="15"/>
        <v/>
      </c>
      <c r="B394" s="14"/>
      <c r="C394" s="28" t="str">
        <f>IF(TRIM($B394)&lt;&gt;"",INDEX(Config!$B$13:$L$76,MATCH($B394,Config!$B$13:$B$76,0),2),"")</f>
        <v/>
      </c>
      <c r="D394" s="74"/>
      <c r="E394" s="14"/>
      <c r="F394" s="14"/>
      <c r="G394" s="14"/>
      <c r="H394" s="14"/>
      <c r="Z394" s="2" t="str">
        <f>IF($B394&lt;&gt;"",INDEX(Config!$B$13:$AZ$76,MATCH($B394,Config!$B$13:$B$76,0),26),"")</f>
        <v/>
      </c>
      <c r="BA394" s="2" t="str">
        <f t="shared" si="16"/>
        <v/>
      </c>
    </row>
    <row r="395" spans="1:53" x14ac:dyDescent="0.15">
      <c r="A395" s="26" t="str">
        <f t="shared" si="15"/>
        <v/>
      </c>
      <c r="B395" s="14"/>
      <c r="C395" s="28" t="str">
        <f>IF(TRIM($B395)&lt;&gt;"",INDEX(Config!$B$13:$L$76,MATCH($B395,Config!$B$13:$B$76,0),2),"")</f>
        <v/>
      </c>
      <c r="D395" s="74"/>
      <c r="E395" s="14"/>
      <c r="F395" s="14"/>
      <c r="G395" s="14"/>
      <c r="H395" s="14"/>
      <c r="Z395" s="2" t="str">
        <f>IF($B395&lt;&gt;"",INDEX(Config!$B$13:$AZ$76,MATCH($B395,Config!$B$13:$B$76,0),26),"")</f>
        <v/>
      </c>
      <c r="BA395" s="2" t="str">
        <f t="shared" si="16"/>
        <v/>
      </c>
    </row>
    <row r="396" spans="1:53" x14ac:dyDescent="0.15">
      <c r="A396" s="26" t="str">
        <f t="shared" si="15"/>
        <v/>
      </c>
      <c r="B396" s="14"/>
      <c r="C396" s="28" t="str">
        <f>IF(TRIM($B396)&lt;&gt;"",INDEX(Config!$B$13:$L$76,MATCH($B396,Config!$B$13:$B$76,0),2),"")</f>
        <v/>
      </c>
      <c r="D396" s="74"/>
      <c r="E396" s="14"/>
      <c r="F396" s="14"/>
      <c r="G396" s="14"/>
      <c r="H396" s="14"/>
      <c r="Z396" s="2" t="str">
        <f>IF($B396&lt;&gt;"",INDEX(Config!$B$13:$AZ$76,MATCH($B396,Config!$B$13:$B$76,0),26),"")</f>
        <v/>
      </c>
      <c r="BA396" s="2" t="str">
        <f t="shared" si="16"/>
        <v/>
      </c>
    </row>
    <row r="397" spans="1:53" x14ac:dyDescent="0.15">
      <c r="A397" s="26" t="str">
        <f t="shared" si="15"/>
        <v/>
      </c>
      <c r="B397" s="14"/>
      <c r="C397" s="28" t="str">
        <f>IF(TRIM($B397)&lt;&gt;"",INDEX(Config!$B$13:$L$76,MATCH($B397,Config!$B$13:$B$76,0),2),"")</f>
        <v/>
      </c>
      <c r="D397" s="74"/>
      <c r="E397" s="14"/>
      <c r="F397" s="14"/>
      <c r="G397" s="14"/>
      <c r="H397" s="14"/>
      <c r="Z397" s="2" t="str">
        <f>IF($B397&lt;&gt;"",INDEX(Config!$B$13:$AZ$76,MATCH($B397,Config!$B$13:$B$76,0),26),"")</f>
        <v/>
      </c>
      <c r="BA397" s="2" t="str">
        <f t="shared" si="16"/>
        <v/>
      </c>
    </row>
    <row r="398" spans="1:53" x14ac:dyDescent="0.15">
      <c r="A398" s="26" t="str">
        <f t="shared" si="15"/>
        <v/>
      </c>
      <c r="B398" s="14"/>
      <c r="C398" s="28" t="str">
        <f>IF(TRIM($B398)&lt;&gt;"",INDEX(Config!$B$13:$L$76,MATCH($B398,Config!$B$13:$B$76,0),2),"")</f>
        <v/>
      </c>
      <c r="D398" s="74"/>
      <c r="E398" s="14"/>
      <c r="F398" s="14"/>
      <c r="G398" s="14"/>
      <c r="H398" s="14"/>
      <c r="Z398" s="2" t="str">
        <f>IF($B398&lt;&gt;"",INDEX(Config!$B$13:$AZ$76,MATCH($B398,Config!$B$13:$B$76,0),26),"")</f>
        <v/>
      </c>
      <c r="BA398" s="2" t="str">
        <f t="shared" si="16"/>
        <v/>
      </c>
    </row>
    <row r="399" spans="1:53" x14ac:dyDescent="0.15">
      <c r="A399" s="26" t="str">
        <f t="shared" si="15"/>
        <v/>
      </c>
      <c r="B399" s="14"/>
      <c r="C399" s="28" t="str">
        <f>IF(TRIM($B399)&lt;&gt;"",INDEX(Config!$B$13:$L$76,MATCH($B399,Config!$B$13:$B$76,0),2),"")</f>
        <v/>
      </c>
      <c r="D399" s="74"/>
      <c r="E399" s="14"/>
      <c r="F399" s="14"/>
      <c r="G399" s="14"/>
      <c r="H399" s="14"/>
      <c r="Z399" s="2" t="str">
        <f>IF($B399&lt;&gt;"",INDEX(Config!$B$13:$AZ$76,MATCH($B399,Config!$B$13:$B$76,0),26),"")</f>
        <v/>
      </c>
      <c r="BA399" s="2" t="str">
        <f t="shared" si="16"/>
        <v/>
      </c>
    </row>
    <row r="400" spans="1:53" x14ac:dyDescent="0.15">
      <c r="A400" s="26" t="str">
        <f t="shared" si="15"/>
        <v/>
      </c>
      <c r="B400" s="14"/>
      <c r="C400" s="28" t="str">
        <f>IF(TRIM($B400)&lt;&gt;"",INDEX(Config!$B$13:$L$76,MATCH($B400,Config!$B$13:$B$76,0),2),"")</f>
        <v/>
      </c>
      <c r="D400" s="74"/>
      <c r="E400" s="14"/>
      <c r="F400" s="14"/>
      <c r="G400" s="14"/>
      <c r="H400" s="14"/>
      <c r="Z400" s="2" t="str">
        <f>IF($B400&lt;&gt;"",INDEX(Config!$B$13:$AZ$76,MATCH($B400,Config!$B$13:$B$76,0),26),"")</f>
        <v/>
      </c>
      <c r="BA400" s="2" t="str">
        <f t="shared" si="16"/>
        <v/>
      </c>
    </row>
    <row r="401" spans="1:53" x14ac:dyDescent="0.15">
      <c r="A401" s="26" t="str">
        <f t="shared" si="15"/>
        <v/>
      </c>
      <c r="B401" s="14"/>
      <c r="C401" s="28" t="str">
        <f>IF(TRIM($B401)&lt;&gt;"",INDEX(Config!$B$13:$L$76,MATCH($B401,Config!$B$13:$B$76,0),2),"")</f>
        <v/>
      </c>
      <c r="D401" s="74"/>
      <c r="E401" s="14"/>
      <c r="F401" s="14"/>
      <c r="G401" s="14"/>
      <c r="H401" s="14"/>
      <c r="Z401" s="2" t="str">
        <f>IF($B401&lt;&gt;"",INDEX(Config!$B$13:$AZ$76,MATCH($B401,Config!$B$13:$B$76,0),26),"")</f>
        <v/>
      </c>
      <c r="BA401" s="2" t="str">
        <f t="shared" si="16"/>
        <v/>
      </c>
    </row>
    <row r="402" spans="1:53" x14ac:dyDescent="0.15">
      <c r="A402" s="26" t="str">
        <f t="shared" si="15"/>
        <v/>
      </c>
      <c r="B402" s="14"/>
      <c r="C402" s="28" t="str">
        <f>IF(TRIM($B402)&lt;&gt;"",INDEX(Config!$B$13:$L$76,MATCH($B402,Config!$B$13:$B$76,0),2),"")</f>
        <v/>
      </c>
      <c r="D402" s="74"/>
      <c r="E402" s="14"/>
      <c r="F402" s="14"/>
      <c r="G402" s="14"/>
      <c r="H402" s="14"/>
      <c r="Z402" s="2" t="str">
        <f>IF($B402&lt;&gt;"",INDEX(Config!$B$13:$AZ$76,MATCH($B402,Config!$B$13:$B$76,0),26),"")</f>
        <v/>
      </c>
      <c r="BA402" s="2" t="str">
        <f t="shared" si="16"/>
        <v/>
      </c>
    </row>
    <row r="403" spans="1:53" x14ac:dyDescent="0.15">
      <c r="A403" s="26" t="str">
        <f t="shared" si="15"/>
        <v/>
      </c>
      <c r="B403" s="14"/>
      <c r="C403" s="28" t="str">
        <f>IF(TRIM($B403)&lt;&gt;"",INDEX(Config!$B$13:$L$76,MATCH($B403,Config!$B$13:$B$76,0),2),"")</f>
        <v/>
      </c>
      <c r="D403" s="74"/>
      <c r="E403" s="14"/>
      <c r="F403" s="14"/>
      <c r="G403" s="14"/>
      <c r="H403" s="14"/>
      <c r="Z403" s="2" t="str">
        <f>IF($B403&lt;&gt;"",INDEX(Config!$B$13:$AZ$76,MATCH($B403,Config!$B$13:$B$76,0),26),"")</f>
        <v/>
      </c>
      <c r="BA403" s="2" t="str">
        <f t="shared" si="16"/>
        <v/>
      </c>
    </row>
    <row r="404" spans="1:53" x14ac:dyDescent="0.15">
      <c r="A404" s="26" t="str">
        <f t="shared" si="15"/>
        <v/>
      </c>
      <c r="B404" s="14"/>
      <c r="C404" s="28" t="str">
        <f>IF(TRIM($B404)&lt;&gt;"",INDEX(Config!$B$13:$L$76,MATCH($B404,Config!$B$13:$B$76,0),2),"")</f>
        <v/>
      </c>
      <c r="D404" s="74"/>
      <c r="E404" s="14"/>
      <c r="F404" s="14"/>
      <c r="G404" s="14"/>
      <c r="H404" s="14"/>
      <c r="Z404" s="2" t="str">
        <f>IF($B404&lt;&gt;"",INDEX(Config!$B$13:$AZ$76,MATCH($B404,Config!$B$13:$B$76,0),26),"")</f>
        <v/>
      </c>
      <c r="BA404" s="2" t="str">
        <f t="shared" si="16"/>
        <v/>
      </c>
    </row>
    <row r="405" spans="1:53" x14ac:dyDescent="0.15">
      <c r="A405" s="26" t="str">
        <f t="shared" si="15"/>
        <v/>
      </c>
      <c r="B405" s="14"/>
      <c r="C405" s="28" t="str">
        <f>IF(TRIM($B405)&lt;&gt;"",INDEX(Config!$B$13:$L$76,MATCH($B405,Config!$B$13:$B$76,0),2),"")</f>
        <v/>
      </c>
      <c r="D405" s="74"/>
      <c r="E405" s="14"/>
      <c r="F405" s="14"/>
      <c r="G405" s="14"/>
      <c r="H405" s="14"/>
      <c r="Z405" s="2" t="str">
        <f>IF($B405&lt;&gt;"",INDEX(Config!$B$13:$AZ$76,MATCH($B405,Config!$B$13:$B$76,0),26),"")</f>
        <v/>
      </c>
      <c r="BA405" s="2" t="str">
        <f t="shared" si="16"/>
        <v/>
      </c>
    </row>
    <row r="406" spans="1:53" x14ac:dyDescent="0.15">
      <c r="A406" s="26" t="str">
        <f t="shared" si="15"/>
        <v/>
      </c>
      <c r="B406" s="14"/>
      <c r="C406" s="28" t="str">
        <f>IF(TRIM($B406)&lt;&gt;"",INDEX(Config!$B$13:$L$76,MATCH($B406,Config!$B$13:$B$76,0),2),"")</f>
        <v/>
      </c>
      <c r="D406" s="74"/>
      <c r="E406" s="14"/>
      <c r="F406" s="14"/>
      <c r="G406" s="14"/>
      <c r="H406" s="14"/>
      <c r="Z406" s="2" t="str">
        <f>IF($B406&lt;&gt;"",INDEX(Config!$B$13:$AZ$76,MATCH($B406,Config!$B$13:$B$76,0),26),"")</f>
        <v/>
      </c>
      <c r="BA406" s="2" t="str">
        <f t="shared" si="16"/>
        <v/>
      </c>
    </row>
    <row r="407" spans="1:53" x14ac:dyDescent="0.15">
      <c r="A407" s="26" t="str">
        <f t="shared" si="15"/>
        <v/>
      </c>
      <c r="B407" s="14"/>
      <c r="C407" s="28" t="str">
        <f>IF(TRIM($B407)&lt;&gt;"",INDEX(Config!$B$13:$L$76,MATCH($B407,Config!$B$13:$B$76,0),2),"")</f>
        <v/>
      </c>
      <c r="D407" s="74"/>
      <c r="E407" s="14"/>
      <c r="F407" s="14"/>
      <c r="G407" s="14"/>
      <c r="H407" s="14"/>
      <c r="Z407" s="2" t="str">
        <f>IF($B407&lt;&gt;"",INDEX(Config!$B$13:$AZ$76,MATCH($B407,Config!$B$13:$B$76,0),26),"")</f>
        <v/>
      </c>
      <c r="BA407" s="2" t="str">
        <f t="shared" si="16"/>
        <v/>
      </c>
    </row>
    <row r="408" spans="1:53" x14ac:dyDescent="0.15">
      <c r="A408" s="26" t="str">
        <f t="shared" si="15"/>
        <v/>
      </c>
      <c r="B408" s="14"/>
      <c r="C408" s="28" t="str">
        <f>IF(TRIM($B408)&lt;&gt;"",INDEX(Config!$B$13:$L$76,MATCH($B408,Config!$B$13:$B$76,0),2),"")</f>
        <v/>
      </c>
      <c r="D408" s="74"/>
      <c r="E408" s="14"/>
      <c r="F408" s="14"/>
      <c r="G408" s="14"/>
      <c r="H408" s="14"/>
      <c r="Z408" s="2" t="str">
        <f>IF($B408&lt;&gt;"",INDEX(Config!$B$13:$AZ$76,MATCH($B408,Config!$B$13:$B$76,0),26),"")</f>
        <v/>
      </c>
      <c r="BA408" s="2" t="str">
        <f t="shared" si="16"/>
        <v/>
      </c>
    </row>
    <row r="409" spans="1:53" x14ac:dyDescent="0.15">
      <c r="A409" s="26" t="str">
        <f t="shared" si="15"/>
        <v/>
      </c>
      <c r="B409" s="14"/>
      <c r="C409" s="28" t="str">
        <f>IF(TRIM($B409)&lt;&gt;"",INDEX(Config!$B$13:$L$76,MATCH($B409,Config!$B$13:$B$76,0),2),"")</f>
        <v/>
      </c>
      <c r="D409" s="74"/>
      <c r="E409" s="14"/>
      <c r="F409" s="14"/>
      <c r="G409" s="14"/>
      <c r="H409" s="14"/>
      <c r="Z409" s="2" t="str">
        <f>IF($B409&lt;&gt;"",INDEX(Config!$B$13:$AZ$76,MATCH($B409,Config!$B$13:$B$76,0),26),"")</f>
        <v/>
      </c>
      <c r="BA409" s="2" t="str">
        <f t="shared" si="16"/>
        <v/>
      </c>
    </row>
    <row r="410" spans="1:53" x14ac:dyDescent="0.15">
      <c r="A410" s="26" t="str">
        <f t="shared" si="15"/>
        <v/>
      </c>
      <c r="B410" s="14"/>
      <c r="C410" s="28" t="str">
        <f>IF(TRIM($B410)&lt;&gt;"",INDEX(Config!$B$13:$L$76,MATCH($B410,Config!$B$13:$B$76,0),2),"")</f>
        <v/>
      </c>
      <c r="D410" s="74"/>
      <c r="E410" s="14"/>
      <c r="F410" s="14"/>
      <c r="G410" s="14"/>
      <c r="H410" s="14"/>
      <c r="Z410" s="2" t="str">
        <f>IF($B410&lt;&gt;"",INDEX(Config!$B$13:$AZ$76,MATCH($B410,Config!$B$13:$B$76,0),26),"")</f>
        <v/>
      </c>
      <c r="BA410" s="2" t="str">
        <f t="shared" si="16"/>
        <v/>
      </c>
    </row>
    <row r="411" spans="1:53" x14ac:dyDescent="0.15">
      <c r="A411" s="26" t="str">
        <f t="shared" si="15"/>
        <v/>
      </c>
      <c r="B411" s="14"/>
      <c r="C411" s="28" t="str">
        <f>IF(TRIM($B411)&lt;&gt;"",INDEX(Config!$B$13:$L$76,MATCH($B411,Config!$B$13:$B$76,0),2),"")</f>
        <v/>
      </c>
      <c r="D411" s="74"/>
      <c r="E411" s="14"/>
      <c r="F411" s="14"/>
      <c r="G411" s="14"/>
      <c r="H411" s="14"/>
      <c r="Z411" s="2" t="str">
        <f>IF($B411&lt;&gt;"",INDEX(Config!$B$13:$AZ$76,MATCH($B411,Config!$B$13:$B$76,0),26),"")</f>
        <v/>
      </c>
      <c r="BA411" s="2" t="str">
        <f t="shared" si="16"/>
        <v/>
      </c>
    </row>
    <row r="412" spans="1:53" x14ac:dyDescent="0.15">
      <c r="A412" s="26" t="str">
        <f t="shared" si="15"/>
        <v/>
      </c>
      <c r="B412" s="14"/>
      <c r="C412" s="28" t="str">
        <f>IF(TRIM($B412)&lt;&gt;"",INDEX(Config!$B$13:$L$76,MATCH($B412,Config!$B$13:$B$76,0),2),"")</f>
        <v/>
      </c>
      <c r="D412" s="74"/>
      <c r="E412" s="14"/>
      <c r="F412" s="14"/>
      <c r="G412" s="14"/>
      <c r="H412" s="14"/>
      <c r="Z412" s="2" t="str">
        <f>IF($B412&lt;&gt;"",INDEX(Config!$B$13:$AZ$76,MATCH($B412,Config!$B$13:$B$76,0),26),"")</f>
        <v/>
      </c>
      <c r="BA412" s="2" t="str">
        <f t="shared" si="16"/>
        <v/>
      </c>
    </row>
    <row r="413" spans="1:53" x14ac:dyDescent="0.15">
      <c r="A413" s="26" t="str">
        <f t="shared" si="15"/>
        <v/>
      </c>
      <c r="B413" s="14"/>
      <c r="C413" s="28" t="str">
        <f>IF(TRIM($B413)&lt;&gt;"",INDEX(Config!$B$13:$L$76,MATCH($B413,Config!$B$13:$B$76,0),2),"")</f>
        <v/>
      </c>
      <c r="D413" s="74"/>
      <c r="E413" s="14"/>
      <c r="F413" s="14"/>
      <c r="G413" s="14"/>
      <c r="H413" s="14"/>
      <c r="Z413" s="2" t="str">
        <f>IF($B413&lt;&gt;"",INDEX(Config!$B$13:$AZ$76,MATCH($B413,Config!$B$13:$B$76,0),26),"")</f>
        <v/>
      </c>
      <c r="BA413" s="2" t="str">
        <f t="shared" si="16"/>
        <v/>
      </c>
    </row>
    <row r="414" spans="1:53" x14ac:dyDescent="0.15">
      <c r="A414" s="26" t="str">
        <f t="shared" si="15"/>
        <v/>
      </c>
      <c r="B414" s="14"/>
      <c r="C414" s="28" t="str">
        <f>IF(TRIM($B414)&lt;&gt;"",INDEX(Config!$B$13:$L$76,MATCH($B414,Config!$B$13:$B$76,0),2),"")</f>
        <v/>
      </c>
      <c r="D414" s="74"/>
      <c r="E414" s="14"/>
      <c r="F414" s="14"/>
      <c r="G414" s="14"/>
      <c r="H414" s="14"/>
      <c r="Z414" s="2" t="str">
        <f>IF($B414&lt;&gt;"",INDEX(Config!$B$13:$AZ$76,MATCH($B414,Config!$B$13:$B$76,0),26),"")</f>
        <v/>
      </c>
      <c r="BA414" s="2" t="str">
        <f t="shared" si="16"/>
        <v/>
      </c>
    </row>
    <row r="415" spans="1:53" x14ac:dyDescent="0.15">
      <c r="A415" s="26" t="str">
        <f t="shared" si="15"/>
        <v/>
      </c>
      <c r="B415" s="14"/>
      <c r="C415" s="28" t="str">
        <f>IF(TRIM($B415)&lt;&gt;"",INDEX(Config!$B$13:$L$76,MATCH($B415,Config!$B$13:$B$76,0),2),"")</f>
        <v/>
      </c>
      <c r="D415" s="74"/>
      <c r="E415" s="14"/>
      <c r="F415" s="14"/>
      <c r="G415" s="14"/>
      <c r="H415" s="14"/>
      <c r="Z415" s="2" t="str">
        <f>IF($B415&lt;&gt;"",INDEX(Config!$B$13:$AZ$76,MATCH($B415,Config!$B$13:$B$76,0),26),"")</f>
        <v/>
      </c>
      <c r="BA415" s="2" t="str">
        <f t="shared" si="16"/>
        <v/>
      </c>
    </row>
    <row r="416" spans="1:53" x14ac:dyDescent="0.15">
      <c r="A416" s="26" t="str">
        <f t="shared" si="15"/>
        <v/>
      </c>
      <c r="B416" s="14"/>
      <c r="C416" s="28" t="str">
        <f>IF(TRIM($B416)&lt;&gt;"",INDEX(Config!$B$13:$L$76,MATCH($B416,Config!$B$13:$B$76,0),2),"")</f>
        <v/>
      </c>
      <c r="D416" s="74"/>
      <c r="E416" s="14"/>
      <c r="F416" s="14"/>
      <c r="G416" s="14"/>
      <c r="H416" s="14"/>
      <c r="Z416" s="2" t="str">
        <f>IF($B416&lt;&gt;"",INDEX(Config!$B$13:$AZ$76,MATCH($B416,Config!$B$13:$B$76,0),26),"")</f>
        <v/>
      </c>
      <c r="BA416" s="2" t="str">
        <f t="shared" si="16"/>
        <v/>
      </c>
    </row>
    <row r="417" spans="1:53" x14ac:dyDescent="0.15">
      <c r="A417" s="26" t="str">
        <f t="shared" si="15"/>
        <v/>
      </c>
      <c r="B417" s="14"/>
      <c r="C417" s="28" t="str">
        <f>IF(TRIM($B417)&lt;&gt;"",INDEX(Config!$B$13:$L$76,MATCH($B417,Config!$B$13:$B$76,0),2),"")</f>
        <v/>
      </c>
      <c r="D417" s="74"/>
      <c r="E417" s="14"/>
      <c r="F417" s="14"/>
      <c r="G417" s="14"/>
      <c r="H417" s="14"/>
      <c r="Z417" s="2" t="str">
        <f>IF($B417&lt;&gt;"",INDEX(Config!$B$13:$AZ$76,MATCH($B417,Config!$B$13:$B$76,0),26),"")</f>
        <v/>
      </c>
      <c r="BA417" s="2" t="str">
        <f t="shared" si="16"/>
        <v/>
      </c>
    </row>
    <row r="418" spans="1:53" x14ac:dyDescent="0.15">
      <c r="A418" s="26" t="str">
        <f t="shared" si="15"/>
        <v/>
      </c>
      <c r="B418" s="14"/>
      <c r="C418" s="28" t="str">
        <f>IF(TRIM($B418)&lt;&gt;"",INDEX(Config!$B$13:$L$76,MATCH($B418,Config!$B$13:$B$76,0),2),"")</f>
        <v/>
      </c>
      <c r="D418" s="74"/>
      <c r="E418" s="14"/>
      <c r="F418" s="14"/>
      <c r="G418" s="14"/>
      <c r="H418" s="14"/>
      <c r="Z418" s="2" t="str">
        <f>IF($B418&lt;&gt;"",INDEX(Config!$B$13:$AZ$76,MATCH($B418,Config!$B$13:$B$76,0),26),"")</f>
        <v/>
      </c>
      <c r="BA418" s="2" t="str">
        <f t="shared" si="16"/>
        <v/>
      </c>
    </row>
    <row r="419" spans="1:53" x14ac:dyDescent="0.15">
      <c r="A419" s="26" t="str">
        <f t="shared" si="15"/>
        <v/>
      </c>
      <c r="B419" s="14"/>
      <c r="C419" s="28" t="str">
        <f>IF(TRIM($B419)&lt;&gt;"",INDEX(Config!$B$13:$L$76,MATCH($B419,Config!$B$13:$B$76,0),2),"")</f>
        <v/>
      </c>
      <c r="D419" s="74"/>
      <c r="E419" s="14"/>
      <c r="F419" s="14"/>
      <c r="G419" s="14"/>
      <c r="H419" s="14"/>
      <c r="Z419" s="2" t="str">
        <f>IF($B419&lt;&gt;"",INDEX(Config!$B$13:$AZ$76,MATCH($B419,Config!$B$13:$B$76,0),26),"")</f>
        <v/>
      </c>
      <c r="BA419" s="2" t="str">
        <f t="shared" si="16"/>
        <v/>
      </c>
    </row>
    <row r="420" spans="1:53" x14ac:dyDescent="0.15">
      <c r="A420" s="26" t="str">
        <f t="shared" si="15"/>
        <v/>
      </c>
      <c r="B420" s="14"/>
      <c r="C420" s="28" t="str">
        <f>IF(TRIM($B420)&lt;&gt;"",INDEX(Config!$B$13:$L$76,MATCH($B420,Config!$B$13:$B$76,0),2),"")</f>
        <v/>
      </c>
      <c r="D420" s="74"/>
      <c r="E420" s="14"/>
      <c r="F420" s="14"/>
      <c r="G420" s="14"/>
      <c r="H420" s="14"/>
      <c r="Z420" s="2" t="str">
        <f>IF($B420&lt;&gt;"",INDEX(Config!$B$13:$AZ$76,MATCH($B420,Config!$B$13:$B$76,0),26),"")</f>
        <v/>
      </c>
      <c r="BA420" s="2" t="str">
        <f t="shared" si="16"/>
        <v/>
      </c>
    </row>
    <row r="421" spans="1:53" x14ac:dyDescent="0.15">
      <c r="A421" s="26" t="str">
        <f t="shared" si="15"/>
        <v/>
      </c>
      <c r="B421" s="14"/>
      <c r="C421" s="28" t="str">
        <f>IF(TRIM($B421)&lt;&gt;"",INDEX(Config!$B$13:$L$76,MATCH($B421,Config!$B$13:$B$76,0),2),"")</f>
        <v/>
      </c>
      <c r="D421" s="74"/>
      <c r="E421" s="14"/>
      <c r="F421" s="14"/>
      <c r="G421" s="14"/>
      <c r="H421" s="14"/>
      <c r="Z421" s="2" t="str">
        <f>IF($B421&lt;&gt;"",INDEX(Config!$B$13:$AZ$76,MATCH($B421,Config!$B$13:$B$76,0),26),"")</f>
        <v/>
      </c>
      <c r="BA421" s="2" t="str">
        <f t="shared" si="16"/>
        <v/>
      </c>
    </row>
    <row r="422" spans="1:53" x14ac:dyDescent="0.15">
      <c r="A422" s="26" t="str">
        <f t="shared" si="15"/>
        <v/>
      </c>
      <c r="B422" s="14"/>
      <c r="C422" s="28" t="str">
        <f>IF(TRIM($B422)&lt;&gt;"",INDEX(Config!$B$13:$L$76,MATCH($B422,Config!$B$13:$B$76,0),2),"")</f>
        <v/>
      </c>
      <c r="D422" s="74"/>
      <c r="E422" s="14"/>
      <c r="F422" s="14"/>
      <c r="G422" s="14"/>
      <c r="H422" s="14"/>
      <c r="Z422" s="2" t="str">
        <f>IF($B422&lt;&gt;"",INDEX(Config!$B$13:$AZ$76,MATCH($B422,Config!$B$13:$B$76,0),26),"")</f>
        <v/>
      </c>
      <c r="BA422" s="2" t="str">
        <f t="shared" si="16"/>
        <v/>
      </c>
    </row>
    <row r="423" spans="1:53" x14ac:dyDescent="0.15">
      <c r="A423" s="26" t="str">
        <f t="shared" si="15"/>
        <v/>
      </c>
      <c r="B423" s="14"/>
      <c r="C423" s="28" t="str">
        <f>IF(TRIM($B423)&lt;&gt;"",INDEX(Config!$B$13:$L$76,MATCH($B423,Config!$B$13:$B$76,0),2),"")</f>
        <v/>
      </c>
      <c r="D423" s="74"/>
      <c r="E423" s="14"/>
      <c r="F423" s="14"/>
      <c r="G423" s="14"/>
      <c r="H423" s="14"/>
      <c r="Z423" s="2" t="str">
        <f>IF($B423&lt;&gt;"",INDEX(Config!$B$13:$AZ$76,MATCH($B423,Config!$B$13:$B$76,0),26),"")</f>
        <v/>
      </c>
      <c r="BA423" s="2" t="str">
        <f t="shared" si="16"/>
        <v/>
      </c>
    </row>
    <row r="424" spans="1:53" x14ac:dyDescent="0.15">
      <c r="A424" s="26" t="str">
        <f t="shared" si="15"/>
        <v/>
      </c>
      <c r="B424" s="14"/>
      <c r="C424" s="28" t="str">
        <f>IF(TRIM($B424)&lt;&gt;"",INDEX(Config!$B$13:$L$76,MATCH($B424,Config!$B$13:$B$76,0),2),"")</f>
        <v/>
      </c>
      <c r="D424" s="74"/>
      <c r="E424" s="14"/>
      <c r="F424" s="14"/>
      <c r="G424" s="14"/>
      <c r="H424" s="14"/>
      <c r="Z424" s="2" t="str">
        <f>IF($B424&lt;&gt;"",INDEX(Config!$B$13:$AZ$76,MATCH($B424,Config!$B$13:$B$76,0),26),"")</f>
        <v/>
      </c>
      <c r="BA424" s="2" t="str">
        <f t="shared" si="16"/>
        <v/>
      </c>
    </row>
    <row r="425" spans="1:53" x14ac:dyDescent="0.15">
      <c r="A425" s="26" t="str">
        <f t="shared" si="15"/>
        <v/>
      </c>
      <c r="B425" s="14"/>
      <c r="C425" s="28" t="str">
        <f>IF(TRIM($B425)&lt;&gt;"",INDEX(Config!$B$13:$L$76,MATCH($B425,Config!$B$13:$B$76,0),2),"")</f>
        <v/>
      </c>
      <c r="D425" s="74"/>
      <c r="E425" s="14"/>
      <c r="F425" s="14"/>
      <c r="G425" s="14"/>
      <c r="H425" s="14"/>
      <c r="Z425" s="2" t="str">
        <f>IF($B425&lt;&gt;"",INDEX(Config!$B$13:$AZ$76,MATCH($B425,Config!$B$13:$B$76,0),26),"")</f>
        <v/>
      </c>
      <c r="BA425" s="2" t="str">
        <f t="shared" si="16"/>
        <v/>
      </c>
    </row>
    <row r="426" spans="1:53" x14ac:dyDescent="0.15">
      <c r="A426" s="26" t="str">
        <f t="shared" si="15"/>
        <v/>
      </c>
      <c r="B426" s="14"/>
      <c r="C426" s="28" t="str">
        <f>IF(TRIM($B426)&lt;&gt;"",INDEX(Config!$B$13:$L$76,MATCH($B426,Config!$B$13:$B$76,0),2),"")</f>
        <v/>
      </c>
      <c r="D426" s="74"/>
      <c r="E426" s="14"/>
      <c r="F426" s="14"/>
      <c r="G426" s="14"/>
      <c r="H426" s="14"/>
      <c r="Z426" s="2" t="str">
        <f>IF($B426&lt;&gt;"",INDEX(Config!$B$13:$AZ$76,MATCH($B426,Config!$B$13:$B$76,0),26),"")</f>
        <v/>
      </c>
      <c r="BA426" s="2" t="str">
        <f t="shared" si="16"/>
        <v/>
      </c>
    </row>
    <row r="427" spans="1:53" x14ac:dyDescent="0.15">
      <c r="A427" s="26" t="str">
        <f t="shared" si="15"/>
        <v/>
      </c>
      <c r="B427" s="14"/>
      <c r="C427" s="28" t="str">
        <f>IF(TRIM($B427)&lt;&gt;"",INDEX(Config!$B$13:$L$76,MATCH($B427,Config!$B$13:$B$76,0),2),"")</f>
        <v/>
      </c>
      <c r="D427" s="74"/>
      <c r="E427" s="14"/>
      <c r="F427" s="14"/>
      <c r="G427" s="14"/>
      <c r="H427" s="14"/>
      <c r="Z427" s="2" t="str">
        <f>IF($B427&lt;&gt;"",INDEX(Config!$B$13:$AZ$76,MATCH($B427,Config!$B$13:$B$76,0),26),"")</f>
        <v/>
      </c>
      <c r="BA427" s="2" t="str">
        <f t="shared" si="16"/>
        <v/>
      </c>
    </row>
    <row r="428" spans="1:53" x14ac:dyDescent="0.15">
      <c r="A428" s="26" t="str">
        <f t="shared" si="15"/>
        <v/>
      </c>
      <c r="B428" s="14"/>
      <c r="C428" s="28" t="str">
        <f>IF(TRIM($B428)&lt;&gt;"",INDEX(Config!$B$13:$L$76,MATCH($B428,Config!$B$13:$B$76,0),2),"")</f>
        <v/>
      </c>
      <c r="D428" s="74"/>
      <c r="E428" s="14"/>
      <c r="F428" s="14"/>
      <c r="G428" s="14"/>
      <c r="H428" s="14"/>
      <c r="Z428" s="2" t="str">
        <f>IF($B428&lt;&gt;"",INDEX(Config!$B$13:$AZ$76,MATCH($B428,Config!$B$13:$B$76,0),26),"")</f>
        <v/>
      </c>
      <c r="BA428" s="2" t="str">
        <f t="shared" si="16"/>
        <v/>
      </c>
    </row>
    <row r="429" spans="1:53" x14ac:dyDescent="0.15">
      <c r="A429" s="26" t="str">
        <f t="shared" si="15"/>
        <v/>
      </c>
      <c r="B429" s="14"/>
      <c r="C429" s="28" t="str">
        <f>IF(TRIM($B429)&lt;&gt;"",INDEX(Config!$B$13:$L$76,MATCH($B429,Config!$B$13:$B$76,0),2),"")</f>
        <v/>
      </c>
      <c r="D429" s="74"/>
      <c r="E429" s="14"/>
      <c r="F429" s="14"/>
      <c r="G429" s="14"/>
      <c r="H429" s="14"/>
      <c r="Z429" s="2" t="str">
        <f>IF($B429&lt;&gt;"",INDEX(Config!$B$13:$AZ$76,MATCH($B429,Config!$B$13:$B$76,0),26),"")</f>
        <v/>
      </c>
      <c r="BA429" s="2" t="str">
        <f t="shared" si="16"/>
        <v/>
      </c>
    </row>
    <row r="430" spans="1:53" x14ac:dyDescent="0.15">
      <c r="A430" s="26" t="str">
        <f t="shared" si="15"/>
        <v/>
      </c>
      <c r="B430" s="14"/>
      <c r="C430" s="28" t="str">
        <f>IF(TRIM($B430)&lt;&gt;"",INDEX(Config!$B$13:$L$76,MATCH($B430,Config!$B$13:$B$76,0),2),"")</f>
        <v/>
      </c>
      <c r="D430" s="74"/>
      <c r="E430" s="14"/>
      <c r="F430" s="14"/>
      <c r="G430" s="14"/>
      <c r="H430" s="14"/>
      <c r="Z430" s="2" t="str">
        <f>IF($B430&lt;&gt;"",INDEX(Config!$B$13:$AZ$76,MATCH($B430,Config!$B$13:$B$76,0),26),"")</f>
        <v/>
      </c>
      <c r="BA430" s="2" t="str">
        <f t="shared" si="16"/>
        <v/>
      </c>
    </row>
    <row r="431" spans="1:53" x14ac:dyDescent="0.15">
      <c r="A431" s="26" t="str">
        <f t="shared" si="15"/>
        <v/>
      </c>
      <c r="B431" s="14"/>
      <c r="C431" s="28" t="str">
        <f>IF(TRIM($B431)&lt;&gt;"",INDEX(Config!$B$13:$L$76,MATCH($B431,Config!$B$13:$B$76,0),2),"")</f>
        <v/>
      </c>
      <c r="D431" s="74"/>
      <c r="E431" s="14"/>
      <c r="F431" s="14"/>
      <c r="G431" s="14"/>
      <c r="H431" s="14"/>
      <c r="Z431" s="2" t="str">
        <f>IF($B431&lt;&gt;"",INDEX(Config!$B$13:$AZ$76,MATCH($B431,Config!$B$13:$B$76,0),26),"")</f>
        <v/>
      </c>
      <c r="BA431" s="2" t="str">
        <f t="shared" si="16"/>
        <v/>
      </c>
    </row>
    <row r="432" spans="1:53" x14ac:dyDescent="0.15">
      <c r="A432" s="26" t="str">
        <f t="shared" si="15"/>
        <v/>
      </c>
      <c r="B432" s="14"/>
      <c r="C432" s="28" t="str">
        <f>IF(TRIM($B432)&lt;&gt;"",INDEX(Config!$B$13:$L$76,MATCH($B432,Config!$B$13:$B$76,0),2),"")</f>
        <v/>
      </c>
      <c r="D432" s="74"/>
      <c r="E432" s="14"/>
      <c r="F432" s="14"/>
      <c r="G432" s="14"/>
      <c r="H432" s="14"/>
      <c r="Z432" s="2" t="str">
        <f>IF($B432&lt;&gt;"",INDEX(Config!$B$13:$AZ$76,MATCH($B432,Config!$B$13:$B$76,0),26),"")</f>
        <v/>
      </c>
      <c r="BA432" s="2" t="str">
        <f t="shared" si="16"/>
        <v/>
      </c>
    </row>
    <row r="433" spans="1:53" x14ac:dyDescent="0.15">
      <c r="A433" s="26" t="str">
        <f t="shared" si="15"/>
        <v/>
      </c>
      <c r="B433" s="14"/>
      <c r="C433" s="28" t="str">
        <f>IF(TRIM($B433)&lt;&gt;"",INDEX(Config!$B$13:$L$76,MATCH($B433,Config!$B$13:$B$76,0),2),"")</f>
        <v/>
      </c>
      <c r="D433" s="74"/>
      <c r="E433" s="14"/>
      <c r="F433" s="14"/>
      <c r="G433" s="14"/>
      <c r="H433" s="14"/>
      <c r="Z433" s="2" t="str">
        <f>IF($B433&lt;&gt;"",INDEX(Config!$B$13:$AZ$76,MATCH($B433,Config!$B$13:$B$76,0),26),"")</f>
        <v/>
      </c>
      <c r="BA433" s="2" t="str">
        <f t="shared" si="16"/>
        <v/>
      </c>
    </row>
    <row r="434" spans="1:53" x14ac:dyDescent="0.15">
      <c r="A434" s="26" t="str">
        <f t="shared" si="15"/>
        <v/>
      </c>
      <c r="B434" s="14"/>
      <c r="C434" s="28" t="str">
        <f>IF(TRIM($B434)&lt;&gt;"",INDEX(Config!$B$13:$L$76,MATCH($B434,Config!$B$13:$B$76,0),2),"")</f>
        <v/>
      </c>
      <c r="D434" s="74"/>
      <c r="E434" s="14"/>
      <c r="F434" s="14"/>
      <c r="G434" s="14"/>
      <c r="H434" s="14"/>
      <c r="Z434" s="2" t="str">
        <f>IF($B434&lt;&gt;"",INDEX(Config!$B$13:$AZ$76,MATCH($B434,Config!$B$13:$B$76,0),26),"")</f>
        <v/>
      </c>
      <c r="BA434" s="2" t="str">
        <f t="shared" si="16"/>
        <v/>
      </c>
    </row>
    <row r="435" spans="1:53" x14ac:dyDescent="0.15">
      <c r="A435" s="26" t="str">
        <f t="shared" si="15"/>
        <v/>
      </c>
      <c r="B435" s="14"/>
      <c r="C435" s="28" t="str">
        <f>IF(TRIM($B435)&lt;&gt;"",INDEX(Config!$B$13:$L$76,MATCH($B435,Config!$B$13:$B$76,0),2),"")</f>
        <v/>
      </c>
      <c r="D435" s="74"/>
      <c r="E435" s="14"/>
      <c r="F435" s="14"/>
      <c r="G435" s="14"/>
      <c r="H435" s="14"/>
      <c r="Z435" s="2" t="str">
        <f>IF($B435&lt;&gt;"",INDEX(Config!$B$13:$AZ$76,MATCH($B435,Config!$B$13:$B$76,0),26),"")</f>
        <v/>
      </c>
      <c r="BA435" s="2" t="str">
        <f t="shared" si="16"/>
        <v/>
      </c>
    </row>
    <row r="436" spans="1:53" x14ac:dyDescent="0.15">
      <c r="A436" s="26" t="str">
        <f t="shared" si="15"/>
        <v/>
      </c>
      <c r="B436" s="14"/>
      <c r="C436" s="28" t="str">
        <f>IF(TRIM($B436)&lt;&gt;"",INDEX(Config!$B$13:$L$76,MATCH($B436,Config!$B$13:$B$76,0),2),"")</f>
        <v/>
      </c>
      <c r="D436" s="74"/>
      <c r="E436" s="14"/>
      <c r="F436" s="14"/>
      <c r="G436" s="14"/>
      <c r="H436" s="14"/>
      <c r="Z436" s="2" t="str">
        <f>IF($B436&lt;&gt;"",INDEX(Config!$B$13:$AZ$76,MATCH($B436,Config!$B$13:$B$76,0),26),"")</f>
        <v/>
      </c>
      <c r="BA436" s="2" t="str">
        <f t="shared" si="16"/>
        <v/>
      </c>
    </row>
    <row r="437" spans="1:53" x14ac:dyDescent="0.15">
      <c r="A437" s="26" t="str">
        <f t="shared" si="15"/>
        <v/>
      </c>
      <c r="B437" s="14"/>
      <c r="C437" s="28" t="str">
        <f>IF(TRIM($B437)&lt;&gt;"",INDEX(Config!$B$13:$L$76,MATCH($B437,Config!$B$13:$B$76,0),2),"")</f>
        <v/>
      </c>
      <c r="D437" s="74"/>
      <c r="E437" s="14"/>
      <c r="F437" s="14"/>
      <c r="G437" s="14"/>
      <c r="H437" s="14"/>
      <c r="Z437" s="2" t="str">
        <f>IF($B437&lt;&gt;"",INDEX(Config!$B$13:$AZ$76,MATCH($B437,Config!$B$13:$B$76,0),26),"")</f>
        <v/>
      </c>
      <c r="BA437" s="2" t="str">
        <f t="shared" si="16"/>
        <v/>
      </c>
    </row>
    <row r="438" spans="1:53" x14ac:dyDescent="0.15">
      <c r="A438" s="26" t="str">
        <f t="shared" si="15"/>
        <v/>
      </c>
      <c r="B438" s="14"/>
      <c r="C438" s="28" t="str">
        <f>IF(TRIM($B438)&lt;&gt;"",INDEX(Config!$B$13:$L$76,MATCH($B438,Config!$B$13:$B$76,0),2),"")</f>
        <v/>
      </c>
      <c r="D438" s="74"/>
      <c r="E438" s="14"/>
      <c r="F438" s="14"/>
      <c r="G438" s="14"/>
      <c r="H438" s="14"/>
      <c r="Z438" s="2" t="str">
        <f>IF($B438&lt;&gt;"",INDEX(Config!$B$13:$AZ$76,MATCH($B438,Config!$B$13:$B$76,0),26),"")</f>
        <v/>
      </c>
      <c r="BA438" s="2" t="str">
        <f t="shared" si="16"/>
        <v/>
      </c>
    </row>
    <row r="439" spans="1:53" x14ac:dyDescent="0.15">
      <c r="A439" s="26" t="str">
        <f t="shared" si="15"/>
        <v/>
      </c>
      <c r="B439" s="14"/>
      <c r="C439" s="28" t="str">
        <f>IF(TRIM($B439)&lt;&gt;"",INDEX(Config!$B$13:$L$76,MATCH($B439,Config!$B$13:$B$76,0),2),"")</f>
        <v/>
      </c>
      <c r="D439" s="74"/>
      <c r="E439" s="14"/>
      <c r="F439" s="14"/>
      <c r="G439" s="14"/>
      <c r="H439" s="14"/>
      <c r="Z439" s="2" t="str">
        <f>IF($B439&lt;&gt;"",INDEX(Config!$B$13:$AZ$76,MATCH($B439,Config!$B$13:$B$76,0),26),"")</f>
        <v/>
      </c>
      <c r="BA439" s="2" t="str">
        <f t="shared" si="16"/>
        <v/>
      </c>
    </row>
    <row r="440" spans="1:53" x14ac:dyDescent="0.15">
      <c r="A440" s="26" t="str">
        <f t="shared" si="15"/>
        <v/>
      </c>
      <c r="B440" s="14"/>
      <c r="C440" s="28" t="str">
        <f>IF(TRIM($B440)&lt;&gt;"",INDEX(Config!$B$13:$L$76,MATCH($B440,Config!$B$13:$B$76,0),2),"")</f>
        <v/>
      </c>
      <c r="D440" s="74"/>
      <c r="E440" s="14"/>
      <c r="F440" s="14"/>
      <c r="G440" s="14"/>
      <c r="H440" s="14"/>
      <c r="Z440" s="2" t="str">
        <f>IF($B440&lt;&gt;"",INDEX(Config!$B$13:$AZ$76,MATCH($B440,Config!$B$13:$B$76,0),26),"")</f>
        <v/>
      </c>
      <c r="BA440" s="2" t="str">
        <f t="shared" si="16"/>
        <v/>
      </c>
    </row>
    <row r="441" spans="1:53" x14ac:dyDescent="0.15">
      <c r="A441" s="26" t="str">
        <f t="shared" si="15"/>
        <v/>
      </c>
      <c r="B441" s="14"/>
      <c r="C441" s="28" t="str">
        <f>IF(TRIM($B441)&lt;&gt;"",INDEX(Config!$B$13:$L$76,MATCH($B441,Config!$B$13:$B$76,0),2),"")</f>
        <v/>
      </c>
      <c r="D441" s="74"/>
      <c r="E441" s="14"/>
      <c r="F441" s="14"/>
      <c r="G441" s="14"/>
      <c r="H441" s="14"/>
      <c r="Z441" s="2" t="str">
        <f>IF($B441&lt;&gt;"",INDEX(Config!$B$13:$AZ$76,MATCH($B441,Config!$B$13:$B$76,0),26),"")</f>
        <v/>
      </c>
      <c r="BA441" s="2" t="str">
        <f t="shared" si="16"/>
        <v/>
      </c>
    </row>
    <row r="442" spans="1:53" x14ac:dyDescent="0.15">
      <c r="A442" s="26" t="str">
        <f t="shared" si="15"/>
        <v/>
      </c>
      <c r="B442" s="14"/>
      <c r="C442" s="28" t="str">
        <f>IF(TRIM($B442)&lt;&gt;"",INDEX(Config!$B$13:$L$76,MATCH($B442,Config!$B$13:$B$76,0),2),"")</f>
        <v/>
      </c>
      <c r="D442" s="74"/>
      <c r="E442" s="14"/>
      <c r="F442" s="14"/>
      <c r="G442" s="14"/>
      <c r="H442" s="14"/>
      <c r="Z442" s="2" t="str">
        <f>IF($B442&lt;&gt;"",INDEX(Config!$B$13:$AZ$76,MATCH($B442,Config!$B$13:$B$76,0),26),"")</f>
        <v/>
      </c>
      <c r="BA442" s="2" t="str">
        <f t="shared" si="16"/>
        <v/>
      </c>
    </row>
    <row r="443" spans="1:53" x14ac:dyDescent="0.15">
      <c r="A443" s="26" t="str">
        <f t="shared" si="15"/>
        <v/>
      </c>
      <c r="B443" s="14"/>
      <c r="C443" s="28" t="str">
        <f>IF(TRIM($B443)&lt;&gt;"",INDEX(Config!$B$13:$L$76,MATCH($B443,Config!$B$13:$B$76,0),2),"")</f>
        <v/>
      </c>
      <c r="D443" s="74"/>
      <c r="E443" s="14"/>
      <c r="F443" s="14"/>
      <c r="G443" s="14"/>
      <c r="H443" s="14"/>
      <c r="Z443" s="2" t="str">
        <f>IF($B443&lt;&gt;"",INDEX(Config!$B$13:$AZ$76,MATCH($B443,Config!$B$13:$B$76,0),26),"")</f>
        <v/>
      </c>
      <c r="BA443" s="2" t="str">
        <f t="shared" si="16"/>
        <v/>
      </c>
    </row>
    <row r="444" spans="1:53" x14ac:dyDescent="0.15">
      <c r="A444" s="26" t="str">
        <f t="shared" si="15"/>
        <v/>
      </c>
      <c r="B444" s="14"/>
      <c r="C444" s="28" t="str">
        <f>IF(TRIM($B444)&lt;&gt;"",INDEX(Config!$B$13:$L$76,MATCH($B444,Config!$B$13:$B$76,0),2),"")</f>
        <v/>
      </c>
      <c r="D444" s="74"/>
      <c r="E444" s="14"/>
      <c r="F444" s="14"/>
      <c r="G444" s="14"/>
      <c r="H444" s="14"/>
      <c r="Z444" s="2" t="str">
        <f>IF($B444&lt;&gt;"",INDEX(Config!$B$13:$AZ$76,MATCH($B444,Config!$B$13:$B$76,0),26),"")</f>
        <v/>
      </c>
      <c r="BA444" s="2" t="str">
        <f t="shared" si="16"/>
        <v/>
      </c>
    </row>
    <row r="445" spans="1:53" x14ac:dyDescent="0.15">
      <c r="A445" s="26" t="str">
        <f t="shared" si="15"/>
        <v/>
      </c>
      <c r="B445" s="14"/>
      <c r="C445" s="28" t="str">
        <f>IF(TRIM($B445)&lt;&gt;"",INDEX(Config!$B$13:$L$76,MATCH($B445,Config!$B$13:$B$76,0),2),"")</f>
        <v/>
      </c>
      <c r="D445" s="74"/>
      <c r="E445" s="14"/>
      <c r="F445" s="14"/>
      <c r="G445" s="14"/>
      <c r="H445" s="14"/>
      <c r="Z445" s="2" t="str">
        <f>IF($B445&lt;&gt;"",INDEX(Config!$B$13:$AZ$76,MATCH($B445,Config!$B$13:$B$76,0),26),"")</f>
        <v/>
      </c>
      <c r="BA445" s="2" t="str">
        <f t="shared" si="16"/>
        <v/>
      </c>
    </row>
    <row r="446" spans="1:53" x14ac:dyDescent="0.15">
      <c r="A446" s="26" t="str">
        <f t="shared" si="15"/>
        <v/>
      </c>
      <c r="B446" s="14"/>
      <c r="C446" s="28" t="str">
        <f>IF(TRIM($B446)&lt;&gt;"",INDEX(Config!$B$13:$L$76,MATCH($B446,Config!$B$13:$B$76,0),2),"")</f>
        <v/>
      </c>
      <c r="D446" s="74"/>
      <c r="E446" s="14"/>
      <c r="F446" s="14"/>
      <c r="G446" s="14"/>
      <c r="H446" s="14"/>
      <c r="Z446" s="2" t="str">
        <f>IF($B446&lt;&gt;"",INDEX(Config!$B$13:$AZ$76,MATCH($B446,Config!$B$13:$B$76,0),26),"")</f>
        <v/>
      </c>
      <c r="BA446" s="2" t="str">
        <f t="shared" si="16"/>
        <v/>
      </c>
    </row>
    <row r="447" spans="1:53" x14ac:dyDescent="0.15">
      <c r="A447" s="26" t="str">
        <f t="shared" si="15"/>
        <v/>
      </c>
      <c r="B447" s="14"/>
      <c r="C447" s="28" t="str">
        <f>IF(TRIM($B447)&lt;&gt;"",INDEX(Config!$B$13:$L$76,MATCH($B447,Config!$B$13:$B$76,0),2),"")</f>
        <v/>
      </c>
      <c r="D447" s="74"/>
      <c r="E447" s="14"/>
      <c r="F447" s="14"/>
      <c r="G447" s="14"/>
      <c r="H447" s="14"/>
      <c r="Z447" s="2" t="str">
        <f>IF($B447&lt;&gt;"",INDEX(Config!$B$13:$AZ$76,MATCH($B447,Config!$B$13:$B$76,0),26),"")</f>
        <v/>
      </c>
      <c r="BA447" s="2" t="str">
        <f t="shared" si="16"/>
        <v/>
      </c>
    </row>
    <row r="448" spans="1:53" x14ac:dyDescent="0.15">
      <c r="A448" s="26" t="str">
        <f t="shared" si="15"/>
        <v/>
      </c>
      <c r="B448" s="14"/>
      <c r="C448" s="28" t="str">
        <f>IF(TRIM($B448)&lt;&gt;"",INDEX(Config!$B$13:$L$76,MATCH($B448,Config!$B$13:$B$76,0),2),"")</f>
        <v/>
      </c>
      <c r="D448" s="74"/>
      <c r="E448" s="14"/>
      <c r="F448" s="14"/>
      <c r="G448" s="14"/>
      <c r="H448" s="14"/>
      <c r="Z448" s="2" t="str">
        <f>IF($B448&lt;&gt;"",INDEX(Config!$B$13:$AZ$76,MATCH($B448,Config!$B$13:$B$76,0),26),"")</f>
        <v/>
      </c>
      <c r="BA448" s="2" t="str">
        <f t="shared" si="16"/>
        <v/>
      </c>
    </row>
    <row r="449" spans="1:53" x14ac:dyDescent="0.15">
      <c r="A449" s="26" t="str">
        <f t="shared" si="15"/>
        <v/>
      </c>
      <c r="B449" s="14"/>
      <c r="C449" s="28" t="str">
        <f>IF(TRIM($B449)&lt;&gt;"",INDEX(Config!$B$13:$L$76,MATCH($B449,Config!$B$13:$B$76,0),2),"")</f>
        <v/>
      </c>
      <c r="D449" s="74"/>
      <c r="E449" s="14"/>
      <c r="F449" s="14"/>
      <c r="G449" s="14"/>
      <c r="H449" s="14"/>
      <c r="Z449" s="2" t="str">
        <f>IF($B449&lt;&gt;"",INDEX(Config!$B$13:$AZ$76,MATCH($B449,Config!$B$13:$B$76,0),26),"")</f>
        <v/>
      </c>
      <c r="BA449" s="2" t="str">
        <f t="shared" si="16"/>
        <v/>
      </c>
    </row>
    <row r="450" spans="1:53" x14ac:dyDescent="0.15">
      <c r="A450" s="26" t="str">
        <f t="shared" si="15"/>
        <v/>
      </c>
      <c r="B450" s="14"/>
      <c r="C450" s="28" t="str">
        <f>IF(TRIM($B450)&lt;&gt;"",INDEX(Config!$B$13:$L$76,MATCH($B450,Config!$B$13:$B$76,0),2),"")</f>
        <v/>
      </c>
      <c r="D450" s="74"/>
      <c r="E450" s="14"/>
      <c r="F450" s="14"/>
      <c r="G450" s="14"/>
      <c r="H450" s="14"/>
      <c r="Z450" s="2" t="str">
        <f>IF($B450&lt;&gt;"",INDEX(Config!$B$13:$AZ$76,MATCH($B450,Config!$B$13:$B$76,0),26),"")</f>
        <v/>
      </c>
      <c r="BA450" s="2" t="str">
        <f t="shared" si="16"/>
        <v/>
      </c>
    </row>
    <row r="451" spans="1:53" x14ac:dyDescent="0.15">
      <c r="A451" s="26" t="str">
        <f t="shared" si="15"/>
        <v/>
      </c>
      <c r="B451" s="14"/>
      <c r="C451" s="28" t="str">
        <f>IF(TRIM($B451)&lt;&gt;"",INDEX(Config!$B$13:$L$76,MATCH($B451,Config!$B$13:$B$76,0),2),"")</f>
        <v/>
      </c>
      <c r="D451" s="74"/>
      <c r="E451" s="14"/>
      <c r="F451" s="14"/>
      <c r="G451" s="14"/>
      <c r="H451" s="14"/>
      <c r="Z451" s="2" t="str">
        <f>IF($B451&lt;&gt;"",INDEX(Config!$B$13:$AZ$76,MATCH($B451,Config!$B$13:$B$76,0),26),"")</f>
        <v/>
      </c>
      <c r="BA451" s="2" t="str">
        <f t="shared" si="16"/>
        <v/>
      </c>
    </row>
    <row r="452" spans="1:53" x14ac:dyDescent="0.15">
      <c r="A452" s="26" t="str">
        <f t="shared" si="15"/>
        <v/>
      </c>
      <c r="B452" s="14"/>
      <c r="C452" s="28" t="str">
        <f>IF(TRIM($B452)&lt;&gt;"",INDEX(Config!$B$13:$L$76,MATCH($B452,Config!$B$13:$B$76,0),2),"")</f>
        <v/>
      </c>
      <c r="D452" s="74"/>
      <c r="E452" s="14"/>
      <c r="F452" s="14"/>
      <c r="G452" s="14"/>
      <c r="H452" s="14"/>
      <c r="Z452" s="2" t="str">
        <f>IF($B452&lt;&gt;"",INDEX(Config!$B$13:$AZ$76,MATCH($B452,Config!$B$13:$B$76,0),26),"")</f>
        <v/>
      </c>
      <c r="BA452" s="2" t="str">
        <f t="shared" si="16"/>
        <v/>
      </c>
    </row>
    <row r="453" spans="1:53" x14ac:dyDescent="0.15">
      <c r="A453" s="26" t="str">
        <f t="shared" si="15"/>
        <v/>
      </c>
      <c r="B453" s="14"/>
      <c r="C453" s="28" t="str">
        <f>IF(TRIM($B453)&lt;&gt;"",INDEX(Config!$B$13:$L$76,MATCH($B453,Config!$B$13:$B$76,0),2),"")</f>
        <v/>
      </c>
      <c r="D453" s="74"/>
      <c r="E453" s="14"/>
      <c r="F453" s="14"/>
      <c r="G453" s="14"/>
      <c r="H453" s="14"/>
      <c r="Z453" s="2" t="str">
        <f>IF($B453&lt;&gt;"",INDEX(Config!$B$13:$AZ$76,MATCH($B453,Config!$B$13:$B$76,0),26),"")</f>
        <v/>
      </c>
      <c r="BA453" s="2" t="str">
        <f t="shared" si="16"/>
        <v/>
      </c>
    </row>
    <row r="454" spans="1:53" x14ac:dyDescent="0.15">
      <c r="A454" s="26" t="str">
        <f t="shared" si="15"/>
        <v/>
      </c>
      <c r="B454" s="14"/>
      <c r="C454" s="28" t="str">
        <f>IF(TRIM($B454)&lt;&gt;"",INDEX(Config!$B$13:$L$76,MATCH($B454,Config!$B$13:$B$76,0),2),"")</f>
        <v/>
      </c>
      <c r="D454" s="74"/>
      <c r="E454" s="14"/>
      <c r="F454" s="14"/>
      <c r="G454" s="14"/>
      <c r="H454" s="14"/>
      <c r="Z454" s="2" t="str">
        <f>IF($B454&lt;&gt;"",INDEX(Config!$B$13:$AZ$76,MATCH($B454,Config!$B$13:$B$76,0),26),"")</f>
        <v/>
      </c>
      <c r="BA454" s="2" t="str">
        <f t="shared" si="16"/>
        <v/>
      </c>
    </row>
    <row r="455" spans="1:53" x14ac:dyDescent="0.15">
      <c r="A455" s="26" t="str">
        <f t="shared" si="15"/>
        <v/>
      </c>
      <c r="B455" s="14"/>
      <c r="C455" s="28" t="str">
        <f>IF(TRIM($B455)&lt;&gt;"",INDEX(Config!$B$13:$L$76,MATCH($B455,Config!$B$13:$B$76,0),2),"")</f>
        <v/>
      </c>
      <c r="D455" s="74"/>
      <c r="E455" s="14"/>
      <c r="F455" s="14"/>
      <c r="G455" s="14"/>
      <c r="H455" s="14"/>
      <c r="Z455" s="2" t="str">
        <f>IF($B455&lt;&gt;"",INDEX(Config!$B$13:$AZ$76,MATCH($B455,Config!$B$13:$B$76,0),26),"")</f>
        <v/>
      </c>
      <c r="BA455" s="2" t="str">
        <f t="shared" si="16"/>
        <v/>
      </c>
    </row>
    <row r="456" spans="1:53" x14ac:dyDescent="0.15">
      <c r="A456" s="26" t="str">
        <f t="shared" ref="A456:A519" si="17">IF(B456&lt;&gt;"","#"&amp;ROW()-1,"")</f>
        <v/>
      </c>
      <c r="B456" s="14"/>
      <c r="C456" s="28" t="str">
        <f>IF(TRIM($B456)&lt;&gt;"",INDEX(Config!$B$13:$L$76,MATCH($B456,Config!$B$13:$B$76,0),2),"")</f>
        <v/>
      </c>
      <c r="D456" s="74"/>
      <c r="E456" s="14"/>
      <c r="F456" s="14"/>
      <c r="G456" s="14"/>
      <c r="H456" s="14"/>
      <c r="Z456" s="2" t="str">
        <f>IF($B456&lt;&gt;"",INDEX(Config!$B$13:$AZ$76,MATCH($B456,Config!$B$13:$B$76,0),26),"")</f>
        <v/>
      </c>
      <c r="BA456" s="2" t="str">
        <f t="shared" ref="BA456:BA519" si="18">IF($B456&lt;&gt;"",ROW()-1,"")</f>
        <v/>
      </c>
    </row>
    <row r="457" spans="1:53" x14ac:dyDescent="0.15">
      <c r="A457" s="26" t="str">
        <f t="shared" si="17"/>
        <v/>
      </c>
      <c r="B457" s="14"/>
      <c r="C457" s="28" t="str">
        <f>IF(TRIM($B457)&lt;&gt;"",INDEX(Config!$B$13:$L$76,MATCH($B457,Config!$B$13:$B$76,0),2),"")</f>
        <v/>
      </c>
      <c r="D457" s="74"/>
      <c r="E457" s="14"/>
      <c r="F457" s="14"/>
      <c r="G457" s="14"/>
      <c r="H457" s="14"/>
      <c r="Z457" s="2" t="str">
        <f>IF($B457&lt;&gt;"",INDEX(Config!$B$13:$AZ$76,MATCH($B457,Config!$B$13:$B$76,0),26),"")</f>
        <v/>
      </c>
      <c r="BA457" s="2" t="str">
        <f t="shared" si="18"/>
        <v/>
      </c>
    </row>
    <row r="458" spans="1:53" x14ac:dyDescent="0.15">
      <c r="A458" s="26" t="str">
        <f t="shared" si="17"/>
        <v/>
      </c>
      <c r="B458" s="14"/>
      <c r="C458" s="28" t="str">
        <f>IF(TRIM($B458)&lt;&gt;"",INDEX(Config!$B$13:$L$76,MATCH($B458,Config!$B$13:$B$76,0),2),"")</f>
        <v/>
      </c>
      <c r="D458" s="74"/>
      <c r="E458" s="14"/>
      <c r="F458" s="14"/>
      <c r="G458" s="14"/>
      <c r="H458" s="14"/>
      <c r="Z458" s="2" t="str">
        <f>IF($B458&lt;&gt;"",INDEX(Config!$B$13:$AZ$76,MATCH($B458,Config!$B$13:$B$76,0),26),"")</f>
        <v/>
      </c>
      <c r="BA458" s="2" t="str">
        <f t="shared" si="18"/>
        <v/>
      </c>
    </row>
    <row r="459" spans="1:53" x14ac:dyDescent="0.15">
      <c r="A459" s="26" t="str">
        <f t="shared" si="17"/>
        <v/>
      </c>
      <c r="B459" s="14"/>
      <c r="C459" s="28" t="str">
        <f>IF(TRIM($B459)&lt;&gt;"",INDEX(Config!$B$13:$L$76,MATCH($B459,Config!$B$13:$B$76,0),2),"")</f>
        <v/>
      </c>
      <c r="D459" s="74"/>
      <c r="E459" s="14"/>
      <c r="F459" s="14"/>
      <c r="G459" s="14"/>
      <c r="H459" s="14"/>
      <c r="Z459" s="2" t="str">
        <f>IF($B459&lt;&gt;"",INDEX(Config!$B$13:$AZ$76,MATCH($B459,Config!$B$13:$B$76,0),26),"")</f>
        <v/>
      </c>
      <c r="BA459" s="2" t="str">
        <f t="shared" si="18"/>
        <v/>
      </c>
    </row>
    <row r="460" spans="1:53" x14ac:dyDescent="0.15">
      <c r="A460" s="26" t="str">
        <f t="shared" si="17"/>
        <v/>
      </c>
      <c r="B460" s="14"/>
      <c r="C460" s="28" t="str">
        <f>IF(TRIM($B460)&lt;&gt;"",INDEX(Config!$B$13:$L$76,MATCH($B460,Config!$B$13:$B$76,0),2),"")</f>
        <v/>
      </c>
      <c r="D460" s="74"/>
      <c r="E460" s="14"/>
      <c r="F460" s="14"/>
      <c r="G460" s="14"/>
      <c r="H460" s="14"/>
      <c r="Z460" s="2" t="str">
        <f>IF($B460&lt;&gt;"",INDEX(Config!$B$13:$AZ$76,MATCH($B460,Config!$B$13:$B$76,0),26),"")</f>
        <v/>
      </c>
      <c r="BA460" s="2" t="str">
        <f t="shared" si="18"/>
        <v/>
      </c>
    </row>
    <row r="461" spans="1:53" x14ac:dyDescent="0.15">
      <c r="A461" s="26" t="str">
        <f t="shared" si="17"/>
        <v/>
      </c>
      <c r="B461" s="14"/>
      <c r="C461" s="28" t="str">
        <f>IF(TRIM($B461)&lt;&gt;"",INDEX(Config!$B$13:$L$76,MATCH($B461,Config!$B$13:$B$76,0),2),"")</f>
        <v/>
      </c>
      <c r="D461" s="74"/>
      <c r="E461" s="14"/>
      <c r="F461" s="14"/>
      <c r="G461" s="14"/>
      <c r="H461" s="14"/>
      <c r="Z461" s="2" t="str">
        <f>IF($B461&lt;&gt;"",INDEX(Config!$B$13:$AZ$76,MATCH($B461,Config!$B$13:$B$76,0),26),"")</f>
        <v/>
      </c>
      <c r="BA461" s="2" t="str">
        <f t="shared" si="18"/>
        <v/>
      </c>
    </row>
    <row r="462" spans="1:53" x14ac:dyDescent="0.15">
      <c r="A462" s="26" t="str">
        <f t="shared" si="17"/>
        <v/>
      </c>
      <c r="B462" s="14"/>
      <c r="C462" s="28" t="str">
        <f>IF(TRIM($B462)&lt;&gt;"",INDEX(Config!$B$13:$L$76,MATCH($B462,Config!$B$13:$B$76,0),2),"")</f>
        <v/>
      </c>
      <c r="D462" s="74"/>
      <c r="E462" s="14"/>
      <c r="F462" s="14"/>
      <c r="G462" s="14"/>
      <c r="H462" s="14"/>
      <c r="Z462" s="2" t="str">
        <f>IF($B462&lt;&gt;"",INDEX(Config!$B$13:$AZ$76,MATCH($B462,Config!$B$13:$B$76,0),26),"")</f>
        <v/>
      </c>
      <c r="BA462" s="2" t="str">
        <f t="shared" si="18"/>
        <v/>
      </c>
    </row>
    <row r="463" spans="1:53" x14ac:dyDescent="0.15">
      <c r="A463" s="26" t="str">
        <f t="shared" si="17"/>
        <v/>
      </c>
      <c r="B463" s="14"/>
      <c r="C463" s="28" t="str">
        <f>IF(TRIM($B463)&lt;&gt;"",INDEX(Config!$B$13:$L$76,MATCH($B463,Config!$B$13:$B$76,0),2),"")</f>
        <v/>
      </c>
      <c r="D463" s="74"/>
      <c r="E463" s="14"/>
      <c r="F463" s="14"/>
      <c r="G463" s="14"/>
      <c r="H463" s="14"/>
      <c r="Z463" s="2" t="str">
        <f>IF($B463&lt;&gt;"",INDEX(Config!$B$13:$AZ$76,MATCH($B463,Config!$B$13:$B$76,0),26),"")</f>
        <v/>
      </c>
      <c r="BA463" s="2" t="str">
        <f t="shared" si="18"/>
        <v/>
      </c>
    </row>
    <row r="464" spans="1:53" x14ac:dyDescent="0.15">
      <c r="A464" s="26" t="str">
        <f t="shared" si="17"/>
        <v/>
      </c>
      <c r="B464" s="14"/>
      <c r="C464" s="28" t="str">
        <f>IF(TRIM($B464)&lt;&gt;"",INDEX(Config!$B$13:$L$76,MATCH($B464,Config!$B$13:$B$76,0),2),"")</f>
        <v/>
      </c>
      <c r="D464" s="74"/>
      <c r="E464" s="14"/>
      <c r="F464" s="14"/>
      <c r="G464" s="14"/>
      <c r="H464" s="14"/>
      <c r="Z464" s="2" t="str">
        <f>IF($B464&lt;&gt;"",INDEX(Config!$B$13:$AZ$76,MATCH($B464,Config!$B$13:$B$76,0),26),"")</f>
        <v/>
      </c>
      <c r="BA464" s="2" t="str">
        <f t="shared" si="18"/>
        <v/>
      </c>
    </row>
    <row r="465" spans="1:53" x14ac:dyDescent="0.15">
      <c r="A465" s="26" t="str">
        <f t="shared" si="17"/>
        <v/>
      </c>
      <c r="B465" s="14"/>
      <c r="C465" s="28" t="str">
        <f>IF(TRIM($B465)&lt;&gt;"",INDEX(Config!$B$13:$L$76,MATCH($B465,Config!$B$13:$B$76,0),2),"")</f>
        <v/>
      </c>
      <c r="D465" s="74"/>
      <c r="E465" s="14"/>
      <c r="F465" s="14"/>
      <c r="G465" s="14"/>
      <c r="H465" s="14"/>
      <c r="Z465" s="2" t="str">
        <f>IF($B465&lt;&gt;"",INDEX(Config!$B$13:$AZ$76,MATCH($B465,Config!$B$13:$B$76,0),26),"")</f>
        <v/>
      </c>
      <c r="BA465" s="2" t="str">
        <f t="shared" si="18"/>
        <v/>
      </c>
    </row>
    <row r="466" spans="1:53" x14ac:dyDescent="0.15">
      <c r="A466" s="26" t="str">
        <f t="shared" si="17"/>
        <v/>
      </c>
      <c r="B466" s="14"/>
      <c r="C466" s="28" t="str">
        <f>IF(TRIM($B466)&lt;&gt;"",INDEX(Config!$B$13:$L$76,MATCH($B466,Config!$B$13:$B$76,0),2),"")</f>
        <v/>
      </c>
      <c r="D466" s="74"/>
      <c r="E466" s="14"/>
      <c r="F466" s="14"/>
      <c r="G466" s="14"/>
      <c r="H466" s="14"/>
      <c r="Z466" s="2" t="str">
        <f>IF($B466&lt;&gt;"",INDEX(Config!$B$13:$AZ$76,MATCH($B466,Config!$B$13:$B$76,0),26),"")</f>
        <v/>
      </c>
      <c r="BA466" s="2" t="str">
        <f t="shared" si="18"/>
        <v/>
      </c>
    </row>
    <row r="467" spans="1:53" x14ac:dyDescent="0.15">
      <c r="A467" s="26" t="str">
        <f t="shared" si="17"/>
        <v/>
      </c>
      <c r="B467" s="14"/>
      <c r="C467" s="28" t="str">
        <f>IF(TRIM($B467)&lt;&gt;"",INDEX(Config!$B$13:$L$76,MATCH($B467,Config!$B$13:$B$76,0),2),"")</f>
        <v/>
      </c>
      <c r="D467" s="74"/>
      <c r="E467" s="14"/>
      <c r="F467" s="14"/>
      <c r="G467" s="14"/>
      <c r="H467" s="14"/>
      <c r="Z467" s="2" t="str">
        <f>IF($B467&lt;&gt;"",INDEX(Config!$B$13:$AZ$76,MATCH($B467,Config!$B$13:$B$76,0),26),"")</f>
        <v/>
      </c>
      <c r="BA467" s="2" t="str">
        <f t="shared" si="18"/>
        <v/>
      </c>
    </row>
    <row r="468" spans="1:53" x14ac:dyDescent="0.15">
      <c r="A468" s="26" t="str">
        <f t="shared" si="17"/>
        <v/>
      </c>
      <c r="B468" s="14"/>
      <c r="C468" s="28" t="str">
        <f>IF(TRIM($B468)&lt;&gt;"",INDEX(Config!$B$13:$L$76,MATCH($B468,Config!$B$13:$B$76,0),2),"")</f>
        <v/>
      </c>
      <c r="D468" s="74"/>
      <c r="E468" s="14"/>
      <c r="F468" s="14"/>
      <c r="G468" s="14"/>
      <c r="H468" s="14"/>
      <c r="Z468" s="2" t="str">
        <f>IF($B468&lt;&gt;"",INDEX(Config!$B$13:$AZ$76,MATCH($B468,Config!$B$13:$B$76,0),26),"")</f>
        <v/>
      </c>
      <c r="BA468" s="2" t="str">
        <f t="shared" si="18"/>
        <v/>
      </c>
    </row>
    <row r="469" spans="1:53" x14ac:dyDescent="0.15">
      <c r="A469" s="26" t="str">
        <f t="shared" si="17"/>
        <v/>
      </c>
      <c r="B469" s="14"/>
      <c r="C469" s="28" t="str">
        <f>IF(TRIM($B469)&lt;&gt;"",INDEX(Config!$B$13:$L$76,MATCH($B469,Config!$B$13:$B$76,0),2),"")</f>
        <v/>
      </c>
      <c r="D469" s="74"/>
      <c r="E469" s="14"/>
      <c r="F469" s="14"/>
      <c r="G469" s="14"/>
      <c r="H469" s="14"/>
      <c r="Z469" s="2" t="str">
        <f>IF($B469&lt;&gt;"",INDEX(Config!$B$13:$AZ$76,MATCH($B469,Config!$B$13:$B$76,0),26),"")</f>
        <v/>
      </c>
      <c r="BA469" s="2" t="str">
        <f t="shared" si="18"/>
        <v/>
      </c>
    </row>
    <row r="470" spans="1:53" x14ac:dyDescent="0.15">
      <c r="A470" s="26" t="str">
        <f t="shared" si="17"/>
        <v/>
      </c>
      <c r="B470" s="14"/>
      <c r="C470" s="28" t="str">
        <f>IF(TRIM($B470)&lt;&gt;"",INDEX(Config!$B$13:$L$76,MATCH($B470,Config!$B$13:$B$76,0),2),"")</f>
        <v/>
      </c>
      <c r="D470" s="74"/>
      <c r="E470" s="14"/>
      <c r="F470" s="14"/>
      <c r="G470" s="14"/>
      <c r="H470" s="14"/>
      <c r="Z470" s="2" t="str">
        <f>IF($B470&lt;&gt;"",INDEX(Config!$B$13:$AZ$76,MATCH($B470,Config!$B$13:$B$76,0),26),"")</f>
        <v/>
      </c>
      <c r="BA470" s="2" t="str">
        <f t="shared" si="18"/>
        <v/>
      </c>
    </row>
    <row r="471" spans="1:53" x14ac:dyDescent="0.15">
      <c r="A471" s="26" t="str">
        <f t="shared" si="17"/>
        <v/>
      </c>
      <c r="B471" s="14"/>
      <c r="C471" s="28" t="str">
        <f>IF(TRIM($B471)&lt;&gt;"",INDEX(Config!$B$13:$L$76,MATCH($B471,Config!$B$13:$B$76,0),2),"")</f>
        <v/>
      </c>
      <c r="D471" s="74"/>
      <c r="E471" s="14"/>
      <c r="F471" s="14"/>
      <c r="G471" s="14"/>
      <c r="H471" s="14"/>
      <c r="Z471" s="2" t="str">
        <f>IF($B471&lt;&gt;"",INDEX(Config!$B$13:$AZ$76,MATCH($B471,Config!$B$13:$B$76,0),26),"")</f>
        <v/>
      </c>
      <c r="BA471" s="2" t="str">
        <f t="shared" si="18"/>
        <v/>
      </c>
    </row>
    <row r="472" spans="1:53" x14ac:dyDescent="0.15">
      <c r="A472" s="26" t="str">
        <f t="shared" si="17"/>
        <v/>
      </c>
      <c r="B472" s="14"/>
      <c r="C472" s="28" t="str">
        <f>IF(TRIM($B472)&lt;&gt;"",INDEX(Config!$B$13:$L$76,MATCH($B472,Config!$B$13:$B$76,0),2),"")</f>
        <v/>
      </c>
      <c r="D472" s="74"/>
      <c r="E472" s="14"/>
      <c r="F472" s="14"/>
      <c r="G472" s="14"/>
      <c r="H472" s="14"/>
      <c r="Z472" s="2" t="str">
        <f>IF($B472&lt;&gt;"",INDEX(Config!$B$13:$AZ$76,MATCH($B472,Config!$B$13:$B$76,0),26),"")</f>
        <v/>
      </c>
      <c r="BA472" s="2" t="str">
        <f t="shared" si="18"/>
        <v/>
      </c>
    </row>
    <row r="473" spans="1:53" x14ac:dyDescent="0.15">
      <c r="A473" s="26" t="str">
        <f t="shared" si="17"/>
        <v/>
      </c>
      <c r="B473" s="14"/>
      <c r="C473" s="28" t="str">
        <f>IF(TRIM($B473)&lt;&gt;"",INDEX(Config!$B$13:$L$76,MATCH($B473,Config!$B$13:$B$76,0),2),"")</f>
        <v/>
      </c>
      <c r="D473" s="74"/>
      <c r="E473" s="14"/>
      <c r="F473" s="14"/>
      <c r="G473" s="14"/>
      <c r="H473" s="14"/>
      <c r="Z473" s="2" t="str">
        <f>IF($B473&lt;&gt;"",INDEX(Config!$B$13:$AZ$76,MATCH($B473,Config!$B$13:$B$76,0),26),"")</f>
        <v/>
      </c>
      <c r="BA473" s="2" t="str">
        <f t="shared" si="18"/>
        <v/>
      </c>
    </row>
    <row r="474" spans="1:53" x14ac:dyDescent="0.15">
      <c r="A474" s="26" t="str">
        <f t="shared" si="17"/>
        <v/>
      </c>
      <c r="B474" s="14"/>
      <c r="C474" s="28" t="str">
        <f>IF(TRIM($B474)&lt;&gt;"",INDEX(Config!$B$13:$L$76,MATCH($B474,Config!$B$13:$B$76,0),2),"")</f>
        <v/>
      </c>
      <c r="D474" s="74"/>
      <c r="E474" s="14"/>
      <c r="F474" s="14"/>
      <c r="G474" s="14"/>
      <c r="H474" s="14"/>
      <c r="Z474" s="2" t="str">
        <f>IF($B474&lt;&gt;"",INDEX(Config!$B$13:$AZ$76,MATCH($B474,Config!$B$13:$B$76,0),26),"")</f>
        <v/>
      </c>
      <c r="BA474" s="2" t="str">
        <f t="shared" si="18"/>
        <v/>
      </c>
    </row>
    <row r="475" spans="1:53" x14ac:dyDescent="0.15">
      <c r="A475" s="26" t="str">
        <f t="shared" si="17"/>
        <v/>
      </c>
      <c r="B475" s="14"/>
      <c r="C475" s="28" t="str">
        <f>IF(TRIM($B475)&lt;&gt;"",INDEX(Config!$B$13:$L$76,MATCH($B475,Config!$B$13:$B$76,0),2),"")</f>
        <v/>
      </c>
      <c r="D475" s="74"/>
      <c r="E475" s="14"/>
      <c r="F475" s="14"/>
      <c r="G475" s="14"/>
      <c r="H475" s="14"/>
      <c r="Z475" s="2" t="str">
        <f>IF($B475&lt;&gt;"",INDEX(Config!$B$13:$AZ$76,MATCH($B475,Config!$B$13:$B$76,0),26),"")</f>
        <v/>
      </c>
      <c r="BA475" s="2" t="str">
        <f t="shared" si="18"/>
        <v/>
      </c>
    </row>
    <row r="476" spans="1:53" x14ac:dyDescent="0.15">
      <c r="A476" s="26" t="str">
        <f t="shared" si="17"/>
        <v/>
      </c>
      <c r="B476" s="14"/>
      <c r="C476" s="28" t="str">
        <f>IF(TRIM($B476)&lt;&gt;"",INDEX(Config!$B$13:$L$76,MATCH($B476,Config!$B$13:$B$76,0),2),"")</f>
        <v/>
      </c>
      <c r="D476" s="74"/>
      <c r="E476" s="14"/>
      <c r="F476" s="14"/>
      <c r="G476" s="14"/>
      <c r="H476" s="14"/>
      <c r="Z476" s="2" t="str">
        <f>IF($B476&lt;&gt;"",INDEX(Config!$B$13:$AZ$76,MATCH($B476,Config!$B$13:$B$76,0),26),"")</f>
        <v/>
      </c>
      <c r="BA476" s="2" t="str">
        <f t="shared" si="18"/>
        <v/>
      </c>
    </row>
    <row r="477" spans="1:53" x14ac:dyDescent="0.15">
      <c r="A477" s="26" t="str">
        <f t="shared" si="17"/>
        <v/>
      </c>
      <c r="B477" s="14"/>
      <c r="C477" s="28" t="str">
        <f>IF(TRIM($B477)&lt;&gt;"",INDEX(Config!$B$13:$L$76,MATCH($B477,Config!$B$13:$B$76,0),2),"")</f>
        <v/>
      </c>
      <c r="D477" s="74"/>
      <c r="E477" s="14"/>
      <c r="F477" s="14"/>
      <c r="G477" s="14"/>
      <c r="H477" s="14"/>
      <c r="Z477" s="2" t="str">
        <f>IF($B477&lt;&gt;"",INDEX(Config!$B$13:$AZ$76,MATCH($B477,Config!$B$13:$B$76,0),26),"")</f>
        <v/>
      </c>
      <c r="BA477" s="2" t="str">
        <f t="shared" si="18"/>
        <v/>
      </c>
    </row>
    <row r="478" spans="1:53" x14ac:dyDescent="0.15">
      <c r="A478" s="26" t="str">
        <f t="shared" si="17"/>
        <v/>
      </c>
      <c r="B478" s="14"/>
      <c r="C478" s="28" t="str">
        <f>IF(TRIM($B478)&lt;&gt;"",INDEX(Config!$B$13:$L$76,MATCH($B478,Config!$B$13:$B$76,0),2),"")</f>
        <v/>
      </c>
      <c r="D478" s="74"/>
      <c r="E478" s="14"/>
      <c r="F478" s="14"/>
      <c r="G478" s="14"/>
      <c r="H478" s="14"/>
      <c r="Z478" s="2" t="str">
        <f>IF($B478&lt;&gt;"",INDEX(Config!$B$13:$AZ$76,MATCH($B478,Config!$B$13:$B$76,0),26),"")</f>
        <v/>
      </c>
      <c r="BA478" s="2" t="str">
        <f t="shared" si="18"/>
        <v/>
      </c>
    </row>
    <row r="479" spans="1:53" x14ac:dyDescent="0.15">
      <c r="A479" s="26" t="str">
        <f t="shared" si="17"/>
        <v/>
      </c>
      <c r="B479" s="14"/>
      <c r="C479" s="28" t="str">
        <f>IF(TRIM($B479)&lt;&gt;"",INDEX(Config!$B$13:$L$76,MATCH($B479,Config!$B$13:$B$76,0),2),"")</f>
        <v/>
      </c>
      <c r="D479" s="74"/>
      <c r="E479" s="14"/>
      <c r="F479" s="14"/>
      <c r="G479" s="14"/>
      <c r="H479" s="14"/>
      <c r="Z479" s="2" t="str">
        <f>IF($B479&lt;&gt;"",INDEX(Config!$B$13:$AZ$76,MATCH($B479,Config!$B$13:$B$76,0),26),"")</f>
        <v/>
      </c>
      <c r="BA479" s="2" t="str">
        <f t="shared" si="18"/>
        <v/>
      </c>
    </row>
    <row r="480" spans="1:53" x14ac:dyDescent="0.15">
      <c r="A480" s="26" t="str">
        <f t="shared" si="17"/>
        <v/>
      </c>
      <c r="B480" s="14"/>
      <c r="C480" s="28" t="str">
        <f>IF(TRIM($B480)&lt;&gt;"",INDEX(Config!$B$13:$L$76,MATCH($B480,Config!$B$13:$B$76,0),2),"")</f>
        <v/>
      </c>
      <c r="D480" s="74"/>
      <c r="E480" s="14"/>
      <c r="F480" s="14"/>
      <c r="G480" s="14"/>
      <c r="H480" s="14"/>
      <c r="Z480" s="2" t="str">
        <f>IF($B480&lt;&gt;"",INDEX(Config!$B$13:$AZ$76,MATCH($B480,Config!$B$13:$B$76,0),26),"")</f>
        <v/>
      </c>
      <c r="BA480" s="2" t="str">
        <f t="shared" si="18"/>
        <v/>
      </c>
    </row>
    <row r="481" spans="1:53" x14ac:dyDescent="0.15">
      <c r="A481" s="26" t="str">
        <f t="shared" si="17"/>
        <v/>
      </c>
      <c r="B481" s="14"/>
      <c r="C481" s="28" t="str">
        <f>IF(TRIM($B481)&lt;&gt;"",INDEX(Config!$B$13:$L$76,MATCH($B481,Config!$B$13:$B$76,0),2),"")</f>
        <v/>
      </c>
      <c r="D481" s="74"/>
      <c r="E481" s="14"/>
      <c r="F481" s="14"/>
      <c r="G481" s="14"/>
      <c r="H481" s="14"/>
      <c r="Z481" s="2" t="str">
        <f>IF($B481&lt;&gt;"",INDEX(Config!$B$13:$AZ$76,MATCH($B481,Config!$B$13:$B$76,0),26),"")</f>
        <v/>
      </c>
      <c r="BA481" s="2" t="str">
        <f t="shared" si="18"/>
        <v/>
      </c>
    </row>
    <row r="482" spans="1:53" x14ac:dyDescent="0.15">
      <c r="A482" s="26" t="str">
        <f t="shared" si="17"/>
        <v/>
      </c>
      <c r="B482" s="14"/>
      <c r="C482" s="28" t="str">
        <f>IF(TRIM($B482)&lt;&gt;"",INDEX(Config!$B$13:$L$76,MATCH($B482,Config!$B$13:$B$76,0),2),"")</f>
        <v/>
      </c>
      <c r="D482" s="74"/>
      <c r="E482" s="14"/>
      <c r="F482" s="14"/>
      <c r="G482" s="14"/>
      <c r="H482" s="14"/>
      <c r="Z482" s="2" t="str">
        <f>IF($B482&lt;&gt;"",INDEX(Config!$B$13:$AZ$76,MATCH($B482,Config!$B$13:$B$76,0),26),"")</f>
        <v/>
      </c>
      <c r="BA482" s="2" t="str">
        <f t="shared" si="18"/>
        <v/>
      </c>
    </row>
    <row r="483" spans="1:53" x14ac:dyDescent="0.15">
      <c r="A483" s="26" t="str">
        <f t="shared" si="17"/>
        <v/>
      </c>
      <c r="B483" s="14"/>
      <c r="C483" s="28" t="str">
        <f>IF(TRIM($B483)&lt;&gt;"",INDEX(Config!$B$13:$L$76,MATCH($B483,Config!$B$13:$B$76,0),2),"")</f>
        <v/>
      </c>
      <c r="D483" s="74"/>
      <c r="E483" s="14"/>
      <c r="F483" s="14"/>
      <c r="G483" s="14"/>
      <c r="H483" s="14"/>
      <c r="Z483" s="2" t="str">
        <f>IF($B483&lt;&gt;"",INDEX(Config!$B$13:$AZ$76,MATCH($B483,Config!$B$13:$B$76,0),26),"")</f>
        <v/>
      </c>
      <c r="BA483" s="2" t="str">
        <f t="shared" si="18"/>
        <v/>
      </c>
    </row>
    <row r="484" spans="1:53" x14ac:dyDescent="0.15">
      <c r="A484" s="26" t="str">
        <f t="shared" si="17"/>
        <v/>
      </c>
      <c r="B484" s="14"/>
      <c r="C484" s="28" t="str">
        <f>IF(TRIM($B484)&lt;&gt;"",INDEX(Config!$B$13:$L$76,MATCH($B484,Config!$B$13:$B$76,0),2),"")</f>
        <v/>
      </c>
      <c r="D484" s="74"/>
      <c r="E484" s="14"/>
      <c r="F484" s="14"/>
      <c r="G484" s="14"/>
      <c r="H484" s="14"/>
      <c r="Z484" s="2" t="str">
        <f>IF($B484&lt;&gt;"",INDEX(Config!$B$13:$AZ$76,MATCH($B484,Config!$B$13:$B$76,0),26),"")</f>
        <v/>
      </c>
      <c r="BA484" s="2" t="str">
        <f t="shared" si="18"/>
        <v/>
      </c>
    </row>
    <row r="485" spans="1:53" x14ac:dyDescent="0.15">
      <c r="A485" s="26" t="str">
        <f t="shared" si="17"/>
        <v/>
      </c>
      <c r="B485" s="14"/>
      <c r="C485" s="28" t="str">
        <f>IF(TRIM($B485)&lt;&gt;"",INDEX(Config!$B$13:$L$76,MATCH($B485,Config!$B$13:$B$76,0),2),"")</f>
        <v/>
      </c>
      <c r="D485" s="74"/>
      <c r="E485" s="14"/>
      <c r="F485" s="14"/>
      <c r="G485" s="14"/>
      <c r="H485" s="14"/>
      <c r="Z485" s="2" t="str">
        <f>IF($B485&lt;&gt;"",INDEX(Config!$B$13:$AZ$76,MATCH($B485,Config!$B$13:$B$76,0),26),"")</f>
        <v/>
      </c>
      <c r="BA485" s="2" t="str">
        <f t="shared" si="18"/>
        <v/>
      </c>
    </row>
    <row r="486" spans="1:53" x14ac:dyDescent="0.15">
      <c r="A486" s="26" t="str">
        <f t="shared" si="17"/>
        <v/>
      </c>
      <c r="B486" s="14"/>
      <c r="C486" s="28" t="str">
        <f>IF(TRIM($B486)&lt;&gt;"",INDEX(Config!$B$13:$L$76,MATCH($B486,Config!$B$13:$B$76,0),2),"")</f>
        <v/>
      </c>
      <c r="D486" s="74"/>
      <c r="E486" s="14"/>
      <c r="F486" s="14"/>
      <c r="G486" s="14"/>
      <c r="H486" s="14"/>
      <c r="Z486" s="2" t="str">
        <f>IF($B486&lt;&gt;"",INDEX(Config!$B$13:$AZ$76,MATCH($B486,Config!$B$13:$B$76,0),26),"")</f>
        <v/>
      </c>
      <c r="BA486" s="2" t="str">
        <f t="shared" si="18"/>
        <v/>
      </c>
    </row>
    <row r="487" spans="1:53" x14ac:dyDescent="0.15">
      <c r="A487" s="26" t="str">
        <f t="shared" si="17"/>
        <v/>
      </c>
      <c r="B487" s="14"/>
      <c r="C487" s="28" t="str">
        <f>IF(TRIM($B487)&lt;&gt;"",INDEX(Config!$B$13:$L$76,MATCH($B487,Config!$B$13:$B$76,0),2),"")</f>
        <v/>
      </c>
      <c r="D487" s="74"/>
      <c r="E487" s="14"/>
      <c r="F487" s="14"/>
      <c r="G487" s="14"/>
      <c r="H487" s="14"/>
      <c r="Z487" s="2" t="str">
        <f>IF($B487&lt;&gt;"",INDEX(Config!$B$13:$AZ$76,MATCH($B487,Config!$B$13:$B$76,0),26),"")</f>
        <v/>
      </c>
      <c r="BA487" s="2" t="str">
        <f t="shared" si="18"/>
        <v/>
      </c>
    </row>
    <row r="488" spans="1:53" x14ac:dyDescent="0.15">
      <c r="A488" s="26" t="str">
        <f t="shared" si="17"/>
        <v/>
      </c>
      <c r="B488" s="14"/>
      <c r="C488" s="28" t="str">
        <f>IF(TRIM($B488)&lt;&gt;"",INDEX(Config!$B$13:$L$76,MATCH($B488,Config!$B$13:$B$76,0),2),"")</f>
        <v/>
      </c>
      <c r="D488" s="74"/>
      <c r="E488" s="14"/>
      <c r="F488" s="14"/>
      <c r="G488" s="14"/>
      <c r="H488" s="14"/>
      <c r="Z488" s="2" t="str">
        <f>IF($B488&lt;&gt;"",INDEX(Config!$B$13:$AZ$76,MATCH($B488,Config!$B$13:$B$76,0),26),"")</f>
        <v/>
      </c>
      <c r="BA488" s="2" t="str">
        <f t="shared" si="18"/>
        <v/>
      </c>
    </row>
    <row r="489" spans="1:53" x14ac:dyDescent="0.15">
      <c r="A489" s="26" t="str">
        <f t="shared" si="17"/>
        <v/>
      </c>
      <c r="B489" s="14"/>
      <c r="C489" s="28" t="str">
        <f>IF(TRIM($B489)&lt;&gt;"",INDEX(Config!$B$13:$L$76,MATCH($B489,Config!$B$13:$B$76,0),2),"")</f>
        <v/>
      </c>
      <c r="D489" s="74"/>
      <c r="E489" s="14"/>
      <c r="F489" s="14"/>
      <c r="G489" s="14"/>
      <c r="H489" s="14"/>
      <c r="Z489" s="2" t="str">
        <f>IF($B489&lt;&gt;"",INDEX(Config!$B$13:$AZ$76,MATCH($B489,Config!$B$13:$B$76,0),26),"")</f>
        <v/>
      </c>
      <c r="BA489" s="2" t="str">
        <f t="shared" si="18"/>
        <v/>
      </c>
    </row>
    <row r="490" spans="1:53" x14ac:dyDescent="0.15">
      <c r="A490" s="26" t="str">
        <f t="shared" si="17"/>
        <v/>
      </c>
      <c r="B490" s="14"/>
      <c r="C490" s="28" t="str">
        <f>IF(TRIM($B490)&lt;&gt;"",INDEX(Config!$B$13:$L$76,MATCH($B490,Config!$B$13:$B$76,0),2),"")</f>
        <v/>
      </c>
      <c r="D490" s="74"/>
      <c r="E490" s="14"/>
      <c r="F490" s="14"/>
      <c r="G490" s="14"/>
      <c r="H490" s="14"/>
      <c r="Z490" s="2" t="str">
        <f>IF($B490&lt;&gt;"",INDEX(Config!$B$13:$AZ$76,MATCH($B490,Config!$B$13:$B$76,0),26),"")</f>
        <v/>
      </c>
      <c r="BA490" s="2" t="str">
        <f t="shared" si="18"/>
        <v/>
      </c>
    </row>
    <row r="491" spans="1:53" x14ac:dyDescent="0.15">
      <c r="A491" s="26" t="str">
        <f t="shared" si="17"/>
        <v/>
      </c>
      <c r="B491" s="14"/>
      <c r="C491" s="28" t="str">
        <f>IF(TRIM($B491)&lt;&gt;"",INDEX(Config!$B$13:$L$76,MATCH($B491,Config!$B$13:$B$76,0),2),"")</f>
        <v/>
      </c>
      <c r="D491" s="74"/>
      <c r="E491" s="14"/>
      <c r="F491" s="14"/>
      <c r="G491" s="14"/>
      <c r="H491" s="14"/>
      <c r="Z491" s="2" t="str">
        <f>IF($B491&lt;&gt;"",INDEX(Config!$B$13:$AZ$76,MATCH($B491,Config!$B$13:$B$76,0),26),"")</f>
        <v/>
      </c>
      <c r="BA491" s="2" t="str">
        <f t="shared" si="18"/>
        <v/>
      </c>
    </row>
    <row r="492" spans="1:53" x14ac:dyDescent="0.15">
      <c r="A492" s="26" t="str">
        <f t="shared" si="17"/>
        <v/>
      </c>
      <c r="B492" s="14"/>
      <c r="C492" s="28" t="str">
        <f>IF(TRIM($B492)&lt;&gt;"",INDEX(Config!$B$13:$L$76,MATCH($B492,Config!$B$13:$B$76,0),2),"")</f>
        <v/>
      </c>
      <c r="D492" s="74"/>
      <c r="E492" s="14"/>
      <c r="F492" s="14"/>
      <c r="G492" s="14"/>
      <c r="H492" s="14"/>
      <c r="Z492" s="2" t="str">
        <f>IF($B492&lt;&gt;"",INDEX(Config!$B$13:$AZ$76,MATCH($B492,Config!$B$13:$B$76,0),26),"")</f>
        <v/>
      </c>
      <c r="BA492" s="2" t="str">
        <f t="shared" si="18"/>
        <v/>
      </c>
    </row>
    <row r="493" spans="1:53" x14ac:dyDescent="0.15">
      <c r="A493" s="26" t="str">
        <f t="shared" si="17"/>
        <v/>
      </c>
      <c r="B493" s="14"/>
      <c r="C493" s="28" t="str">
        <f>IF(TRIM($B493)&lt;&gt;"",INDEX(Config!$B$13:$L$76,MATCH($B493,Config!$B$13:$B$76,0),2),"")</f>
        <v/>
      </c>
      <c r="D493" s="74"/>
      <c r="E493" s="14"/>
      <c r="F493" s="14"/>
      <c r="G493" s="14"/>
      <c r="H493" s="14"/>
      <c r="Z493" s="2" t="str">
        <f>IF($B493&lt;&gt;"",INDEX(Config!$B$13:$AZ$76,MATCH($B493,Config!$B$13:$B$76,0),26),"")</f>
        <v/>
      </c>
      <c r="BA493" s="2" t="str">
        <f t="shared" si="18"/>
        <v/>
      </c>
    </row>
    <row r="494" spans="1:53" x14ac:dyDescent="0.15">
      <c r="A494" s="26" t="str">
        <f t="shared" si="17"/>
        <v/>
      </c>
      <c r="B494" s="14"/>
      <c r="C494" s="28" t="str">
        <f>IF(TRIM($B494)&lt;&gt;"",INDEX(Config!$B$13:$L$76,MATCH($B494,Config!$B$13:$B$76,0),2),"")</f>
        <v/>
      </c>
      <c r="D494" s="74"/>
      <c r="E494" s="14"/>
      <c r="F494" s="14"/>
      <c r="G494" s="14"/>
      <c r="H494" s="14"/>
      <c r="Z494" s="2" t="str">
        <f>IF($B494&lt;&gt;"",INDEX(Config!$B$13:$AZ$76,MATCH($B494,Config!$B$13:$B$76,0),26),"")</f>
        <v/>
      </c>
      <c r="BA494" s="2" t="str">
        <f t="shared" si="18"/>
        <v/>
      </c>
    </row>
    <row r="495" spans="1:53" x14ac:dyDescent="0.15">
      <c r="A495" s="26" t="str">
        <f t="shared" si="17"/>
        <v/>
      </c>
      <c r="B495" s="14"/>
      <c r="C495" s="28" t="str">
        <f>IF(TRIM($B495)&lt;&gt;"",INDEX(Config!$B$13:$L$76,MATCH($B495,Config!$B$13:$B$76,0),2),"")</f>
        <v/>
      </c>
      <c r="D495" s="74"/>
      <c r="E495" s="14"/>
      <c r="F495" s="14"/>
      <c r="G495" s="14"/>
      <c r="H495" s="14"/>
      <c r="Z495" s="2" t="str">
        <f>IF($B495&lt;&gt;"",INDEX(Config!$B$13:$AZ$76,MATCH($B495,Config!$B$13:$B$76,0),26),"")</f>
        <v/>
      </c>
      <c r="BA495" s="2" t="str">
        <f t="shared" si="18"/>
        <v/>
      </c>
    </row>
    <row r="496" spans="1:53" x14ac:dyDescent="0.15">
      <c r="A496" s="26" t="str">
        <f t="shared" si="17"/>
        <v/>
      </c>
      <c r="B496" s="14"/>
      <c r="C496" s="28" t="str">
        <f>IF(TRIM($B496)&lt;&gt;"",INDEX(Config!$B$13:$L$76,MATCH($B496,Config!$B$13:$B$76,0),2),"")</f>
        <v/>
      </c>
      <c r="D496" s="74"/>
      <c r="E496" s="14"/>
      <c r="F496" s="14"/>
      <c r="G496" s="14"/>
      <c r="H496" s="14"/>
      <c r="Z496" s="2" t="str">
        <f>IF($B496&lt;&gt;"",INDEX(Config!$B$13:$AZ$76,MATCH($B496,Config!$B$13:$B$76,0),26),"")</f>
        <v/>
      </c>
      <c r="BA496" s="2" t="str">
        <f t="shared" si="18"/>
        <v/>
      </c>
    </row>
    <row r="497" spans="1:53" x14ac:dyDescent="0.15">
      <c r="A497" s="26" t="str">
        <f t="shared" si="17"/>
        <v/>
      </c>
      <c r="B497" s="14"/>
      <c r="C497" s="28" t="str">
        <f>IF(TRIM($B497)&lt;&gt;"",INDEX(Config!$B$13:$L$76,MATCH($B497,Config!$B$13:$B$76,0),2),"")</f>
        <v/>
      </c>
      <c r="D497" s="74"/>
      <c r="E497" s="14"/>
      <c r="F497" s="14"/>
      <c r="G497" s="14"/>
      <c r="H497" s="14"/>
      <c r="Z497" s="2" t="str">
        <f>IF($B497&lt;&gt;"",INDEX(Config!$B$13:$AZ$76,MATCH($B497,Config!$B$13:$B$76,0),26),"")</f>
        <v/>
      </c>
      <c r="BA497" s="2" t="str">
        <f t="shared" si="18"/>
        <v/>
      </c>
    </row>
    <row r="498" spans="1:53" x14ac:dyDescent="0.15">
      <c r="A498" s="26" t="str">
        <f t="shared" si="17"/>
        <v/>
      </c>
      <c r="B498" s="14"/>
      <c r="C498" s="28" t="str">
        <f>IF(TRIM($B498)&lt;&gt;"",INDEX(Config!$B$13:$L$76,MATCH($B498,Config!$B$13:$B$76,0),2),"")</f>
        <v/>
      </c>
      <c r="D498" s="74"/>
      <c r="E498" s="14"/>
      <c r="F498" s="14"/>
      <c r="G498" s="14"/>
      <c r="H498" s="14"/>
      <c r="Z498" s="2" t="str">
        <f>IF($B498&lt;&gt;"",INDEX(Config!$B$13:$AZ$76,MATCH($B498,Config!$B$13:$B$76,0),26),"")</f>
        <v/>
      </c>
      <c r="BA498" s="2" t="str">
        <f t="shared" si="18"/>
        <v/>
      </c>
    </row>
    <row r="499" spans="1:53" x14ac:dyDescent="0.15">
      <c r="A499" s="26" t="str">
        <f t="shared" si="17"/>
        <v/>
      </c>
      <c r="B499" s="14"/>
      <c r="C499" s="28" t="str">
        <f>IF(TRIM($B499)&lt;&gt;"",INDEX(Config!$B$13:$L$76,MATCH($B499,Config!$B$13:$B$76,0),2),"")</f>
        <v/>
      </c>
      <c r="D499" s="74"/>
      <c r="E499" s="14"/>
      <c r="F499" s="14"/>
      <c r="G499" s="14"/>
      <c r="H499" s="14"/>
      <c r="Z499" s="2" t="str">
        <f>IF($B499&lt;&gt;"",INDEX(Config!$B$13:$AZ$76,MATCH($B499,Config!$B$13:$B$76,0),26),"")</f>
        <v/>
      </c>
      <c r="BA499" s="2" t="str">
        <f t="shared" si="18"/>
        <v/>
      </c>
    </row>
    <row r="500" spans="1:53" x14ac:dyDescent="0.15">
      <c r="A500" s="26" t="str">
        <f t="shared" si="17"/>
        <v/>
      </c>
      <c r="B500" s="14"/>
      <c r="C500" s="28" t="str">
        <f>IF(TRIM($B500)&lt;&gt;"",INDEX(Config!$B$13:$L$76,MATCH($B500,Config!$B$13:$B$76,0),2),"")</f>
        <v/>
      </c>
      <c r="D500" s="74"/>
      <c r="E500" s="14"/>
      <c r="F500" s="14"/>
      <c r="G500" s="14"/>
      <c r="H500" s="14"/>
      <c r="Z500" s="2" t="str">
        <f>IF($B500&lt;&gt;"",INDEX(Config!$B$13:$AZ$76,MATCH($B500,Config!$B$13:$B$76,0),26),"")</f>
        <v/>
      </c>
      <c r="BA500" s="2" t="str">
        <f t="shared" si="18"/>
        <v/>
      </c>
    </row>
    <row r="501" spans="1:53" x14ac:dyDescent="0.15">
      <c r="A501" s="26" t="str">
        <f t="shared" si="17"/>
        <v/>
      </c>
      <c r="B501" s="14"/>
      <c r="C501" s="28" t="str">
        <f>IF(TRIM($B501)&lt;&gt;"",INDEX(Config!$B$13:$L$76,MATCH($B501,Config!$B$13:$B$76,0),2),"")</f>
        <v/>
      </c>
      <c r="D501" s="74"/>
      <c r="E501" s="14"/>
      <c r="F501" s="14"/>
      <c r="G501" s="14"/>
      <c r="H501" s="14"/>
      <c r="Z501" s="2" t="str">
        <f>IF($B501&lt;&gt;"",INDEX(Config!$B$13:$AZ$76,MATCH($B501,Config!$B$13:$B$76,0),26),"")</f>
        <v/>
      </c>
      <c r="BA501" s="2" t="str">
        <f t="shared" si="18"/>
        <v/>
      </c>
    </row>
    <row r="502" spans="1:53" x14ac:dyDescent="0.15">
      <c r="A502" s="26" t="str">
        <f t="shared" si="17"/>
        <v/>
      </c>
      <c r="B502" s="14"/>
      <c r="C502" s="28" t="str">
        <f>IF(TRIM($B502)&lt;&gt;"",INDEX(Config!$B$13:$L$76,MATCH($B502,Config!$B$13:$B$76,0),2),"")</f>
        <v/>
      </c>
      <c r="D502" s="74"/>
      <c r="E502" s="14"/>
      <c r="F502" s="14"/>
      <c r="G502" s="14"/>
      <c r="H502" s="14"/>
      <c r="Z502" s="2" t="str">
        <f>IF($B502&lt;&gt;"",INDEX(Config!$B$13:$AZ$76,MATCH($B502,Config!$B$13:$B$76,0),26),"")</f>
        <v/>
      </c>
      <c r="BA502" s="2" t="str">
        <f t="shared" si="18"/>
        <v/>
      </c>
    </row>
    <row r="503" spans="1:53" x14ac:dyDescent="0.15">
      <c r="A503" s="26" t="str">
        <f t="shared" si="17"/>
        <v/>
      </c>
      <c r="B503" s="14"/>
      <c r="C503" s="28" t="str">
        <f>IF(TRIM($B503)&lt;&gt;"",INDEX(Config!$B$13:$L$76,MATCH($B503,Config!$B$13:$B$76,0),2),"")</f>
        <v/>
      </c>
      <c r="D503" s="74"/>
      <c r="E503" s="14"/>
      <c r="F503" s="14"/>
      <c r="G503" s="14"/>
      <c r="H503" s="14"/>
      <c r="Z503" s="2" t="str">
        <f>IF($B503&lt;&gt;"",INDEX(Config!$B$13:$AZ$76,MATCH($B503,Config!$B$13:$B$76,0),26),"")</f>
        <v/>
      </c>
      <c r="BA503" s="2" t="str">
        <f t="shared" si="18"/>
        <v/>
      </c>
    </row>
    <row r="504" spans="1:53" x14ac:dyDescent="0.15">
      <c r="A504" s="26" t="str">
        <f t="shared" si="17"/>
        <v/>
      </c>
      <c r="B504" s="14"/>
      <c r="C504" s="28" t="str">
        <f>IF(TRIM($B504)&lt;&gt;"",INDEX(Config!$B$13:$L$76,MATCH($B504,Config!$B$13:$B$76,0),2),"")</f>
        <v/>
      </c>
      <c r="D504" s="74"/>
      <c r="E504" s="14"/>
      <c r="F504" s="14"/>
      <c r="G504" s="14"/>
      <c r="H504" s="14"/>
      <c r="Z504" s="2" t="str">
        <f>IF($B504&lt;&gt;"",INDEX(Config!$B$13:$AZ$76,MATCH($B504,Config!$B$13:$B$76,0),26),"")</f>
        <v/>
      </c>
      <c r="BA504" s="2" t="str">
        <f t="shared" si="18"/>
        <v/>
      </c>
    </row>
    <row r="505" spans="1:53" x14ac:dyDescent="0.15">
      <c r="A505" s="26" t="str">
        <f t="shared" si="17"/>
        <v/>
      </c>
      <c r="B505" s="14"/>
      <c r="C505" s="28" t="str">
        <f>IF(TRIM($B505)&lt;&gt;"",INDEX(Config!$B$13:$L$76,MATCH($B505,Config!$B$13:$B$76,0),2),"")</f>
        <v/>
      </c>
      <c r="D505" s="74"/>
      <c r="E505" s="14"/>
      <c r="F505" s="14"/>
      <c r="G505" s="14"/>
      <c r="H505" s="14"/>
      <c r="Z505" s="2" t="str">
        <f>IF($B505&lt;&gt;"",INDEX(Config!$B$13:$AZ$76,MATCH($B505,Config!$B$13:$B$76,0),26),"")</f>
        <v/>
      </c>
      <c r="BA505" s="2" t="str">
        <f t="shared" si="18"/>
        <v/>
      </c>
    </row>
    <row r="506" spans="1:53" x14ac:dyDescent="0.15">
      <c r="A506" s="26" t="str">
        <f t="shared" si="17"/>
        <v/>
      </c>
      <c r="B506" s="14"/>
      <c r="C506" s="28" t="str">
        <f>IF(TRIM($B506)&lt;&gt;"",INDEX(Config!$B$13:$L$76,MATCH($B506,Config!$B$13:$B$76,0),2),"")</f>
        <v/>
      </c>
      <c r="D506" s="74"/>
      <c r="E506" s="14"/>
      <c r="F506" s="14"/>
      <c r="G506" s="14"/>
      <c r="H506" s="14"/>
      <c r="Z506" s="2" t="str">
        <f>IF($B506&lt;&gt;"",INDEX(Config!$B$13:$AZ$76,MATCH($B506,Config!$B$13:$B$76,0),26),"")</f>
        <v/>
      </c>
      <c r="BA506" s="2" t="str">
        <f t="shared" si="18"/>
        <v/>
      </c>
    </row>
    <row r="507" spans="1:53" x14ac:dyDescent="0.15">
      <c r="A507" s="26" t="str">
        <f t="shared" si="17"/>
        <v/>
      </c>
      <c r="B507" s="14"/>
      <c r="C507" s="28" t="str">
        <f>IF(TRIM($B507)&lt;&gt;"",INDEX(Config!$B$13:$L$76,MATCH($B507,Config!$B$13:$B$76,0),2),"")</f>
        <v/>
      </c>
      <c r="D507" s="74"/>
      <c r="E507" s="14"/>
      <c r="F507" s="14"/>
      <c r="G507" s="14"/>
      <c r="H507" s="14"/>
      <c r="Z507" s="2" t="str">
        <f>IF($B507&lt;&gt;"",INDEX(Config!$B$13:$AZ$76,MATCH($B507,Config!$B$13:$B$76,0),26),"")</f>
        <v/>
      </c>
      <c r="BA507" s="2" t="str">
        <f t="shared" si="18"/>
        <v/>
      </c>
    </row>
    <row r="508" spans="1:53" x14ac:dyDescent="0.15">
      <c r="A508" s="26" t="str">
        <f t="shared" si="17"/>
        <v/>
      </c>
      <c r="B508" s="14"/>
      <c r="C508" s="28" t="str">
        <f>IF(TRIM($B508)&lt;&gt;"",INDEX(Config!$B$13:$L$76,MATCH($B508,Config!$B$13:$B$76,0),2),"")</f>
        <v/>
      </c>
      <c r="D508" s="74"/>
      <c r="E508" s="14"/>
      <c r="F508" s="14"/>
      <c r="G508" s="14"/>
      <c r="H508" s="14"/>
      <c r="Z508" s="2" t="str">
        <f>IF($B508&lt;&gt;"",INDEX(Config!$B$13:$AZ$76,MATCH($B508,Config!$B$13:$B$76,0),26),"")</f>
        <v/>
      </c>
      <c r="BA508" s="2" t="str">
        <f t="shared" si="18"/>
        <v/>
      </c>
    </row>
    <row r="509" spans="1:53" x14ac:dyDescent="0.15">
      <c r="A509" s="26" t="str">
        <f t="shared" si="17"/>
        <v/>
      </c>
      <c r="B509" s="14"/>
      <c r="C509" s="28" t="str">
        <f>IF(TRIM($B509)&lt;&gt;"",INDEX(Config!$B$13:$L$76,MATCH($B509,Config!$B$13:$B$76,0),2),"")</f>
        <v/>
      </c>
      <c r="D509" s="74"/>
      <c r="E509" s="14"/>
      <c r="F509" s="14"/>
      <c r="G509" s="14"/>
      <c r="H509" s="14"/>
      <c r="Z509" s="2" t="str">
        <f>IF($B509&lt;&gt;"",INDEX(Config!$B$13:$AZ$76,MATCH($B509,Config!$B$13:$B$76,0),26),"")</f>
        <v/>
      </c>
      <c r="BA509" s="2" t="str">
        <f t="shared" si="18"/>
        <v/>
      </c>
    </row>
    <row r="510" spans="1:53" x14ac:dyDescent="0.15">
      <c r="A510" s="26" t="str">
        <f t="shared" si="17"/>
        <v/>
      </c>
      <c r="B510" s="14"/>
      <c r="C510" s="28" t="str">
        <f>IF(TRIM($B510)&lt;&gt;"",INDEX(Config!$B$13:$L$76,MATCH($B510,Config!$B$13:$B$76,0),2),"")</f>
        <v/>
      </c>
      <c r="D510" s="74"/>
      <c r="E510" s="14"/>
      <c r="F510" s="14"/>
      <c r="G510" s="14"/>
      <c r="H510" s="14"/>
      <c r="Z510" s="2" t="str">
        <f>IF($B510&lt;&gt;"",INDEX(Config!$B$13:$AZ$76,MATCH($B510,Config!$B$13:$B$76,0),26),"")</f>
        <v/>
      </c>
      <c r="BA510" s="2" t="str">
        <f t="shared" si="18"/>
        <v/>
      </c>
    </row>
    <row r="511" spans="1:53" x14ac:dyDescent="0.15">
      <c r="A511" s="26" t="str">
        <f t="shared" si="17"/>
        <v/>
      </c>
      <c r="B511" s="14"/>
      <c r="C511" s="28" t="str">
        <f>IF(TRIM($B511)&lt;&gt;"",INDEX(Config!$B$13:$L$76,MATCH($B511,Config!$B$13:$B$76,0),2),"")</f>
        <v/>
      </c>
      <c r="D511" s="74"/>
      <c r="E511" s="14"/>
      <c r="F511" s="14"/>
      <c r="G511" s="14"/>
      <c r="H511" s="14"/>
      <c r="Z511" s="2" t="str">
        <f>IF($B511&lt;&gt;"",INDEX(Config!$B$13:$AZ$76,MATCH($B511,Config!$B$13:$B$76,0),26),"")</f>
        <v/>
      </c>
      <c r="BA511" s="2" t="str">
        <f t="shared" si="18"/>
        <v/>
      </c>
    </row>
    <row r="512" spans="1:53" x14ac:dyDescent="0.15">
      <c r="A512" s="26" t="str">
        <f t="shared" si="17"/>
        <v/>
      </c>
      <c r="B512" s="14"/>
      <c r="C512" s="28" t="str">
        <f>IF(TRIM($B512)&lt;&gt;"",INDEX(Config!$B$13:$L$76,MATCH($B512,Config!$B$13:$B$76,0),2),"")</f>
        <v/>
      </c>
      <c r="D512" s="74"/>
      <c r="E512" s="14"/>
      <c r="F512" s="14"/>
      <c r="G512" s="14"/>
      <c r="H512" s="14"/>
      <c r="Z512" s="2" t="str">
        <f>IF($B512&lt;&gt;"",INDEX(Config!$B$13:$AZ$76,MATCH($B512,Config!$B$13:$B$76,0),26),"")</f>
        <v/>
      </c>
      <c r="BA512" s="2" t="str">
        <f t="shared" si="18"/>
        <v/>
      </c>
    </row>
    <row r="513" spans="1:53" x14ac:dyDescent="0.15">
      <c r="A513" s="26" t="str">
        <f t="shared" si="17"/>
        <v/>
      </c>
      <c r="B513" s="14"/>
      <c r="C513" s="28" t="str">
        <f>IF(TRIM($B513)&lt;&gt;"",INDEX(Config!$B$13:$L$76,MATCH($B513,Config!$B$13:$B$76,0),2),"")</f>
        <v/>
      </c>
      <c r="D513" s="74"/>
      <c r="E513" s="14"/>
      <c r="F513" s="14"/>
      <c r="G513" s="14"/>
      <c r="H513" s="14"/>
      <c r="Z513" s="2" t="str">
        <f>IF($B513&lt;&gt;"",INDEX(Config!$B$13:$AZ$76,MATCH($B513,Config!$B$13:$B$76,0),26),"")</f>
        <v/>
      </c>
      <c r="BA513" s="2" t="str">
        <f t="shared" si="18"/>
        <v/>
      </c>
    </row>
    <row r="514" spans="1:53" x14ac:dyDescent="0.15">
      <c r="A514" s="26" t="str">
        <f t="shared" si="17"/>
        <v/>
      </c>
      <c r="B514" s="14"/>
      <c r="C514" s="28" t="str">
        <f>IF(TRIM($B514)&lt;&gt;"",INDEX(Config!$B$13:$L$76,MATCH($B514,Config!$B$13:$B$76,0),2),"")</f>
        <v/>
      </c>
      <c r="D514" s="74"/>
      <c r="E514" s="14"/>
      <c r="F514" s="14"/>
      <c r="G514" s="14"/>
      <c r="H514" s="14"/>
      <c r="Z514" s="2" t="str">
        <f>IF($B514&lt;&gt;"",INDEX(Config!$B$13:$AZ$76,MATCH($B514,Config!$B$13:$B$76,0),26),"")</f>
        <v/>
      </c>
      <c r="BA514" s="2" t="str">
        <f t="shared" si="18"/>
        <v/>
      </c>
    </row>
    <row r="515" spans="1:53" x14ac:dyDescent="0.15">
      <c r="A515" s="26" t="str">
        <f t="shared" si="17"/>
        <v/>
      </c>
      <c r="B515" s="14"/>
      <c r="C515" s="28" t="str">
        <f>IF(TRIM($B515)&lt;&gt;"",INDEX(Config!$B$13:$L$76,MATCH($B515,Config!$B$13:$B$76,0),2),"")</f>
        <v/>
      </c>
      <c r="D515" s="74"/>
      <c r="E515" s="14"/>
      <c r="F515" s="14"/>
      <c r="G515" s="14"/>
      <c r="H515" s="14"/>
      <c r="Z515" s="2" t="str">
        <f>IF($B515&lt;&gt;"",INDEX(Config!$B$13:$AZ$76,MATCH($B515,Config!$B$13:$B$76,0),26),"")</f>
        <v/>
      </c>
      <c r="BA515" s="2" t="str">
        <f t="shared" si="18"/>
        <v/>
      </c>
    </row>
    <row r="516" spans="1:53" x14ac:dyDescent="0.15">
      <c r="A516" s="26" t="str">
        <f t="shared" si="17"/>
        <v/>
      </c>
      <c r="B516" s="14"/>
      <c r="C516" s="28" t="str">
        <f>IF(TRIM($B516)&lt;&gt;"",INDEX(Config!$B$13:$L$76,MATCH($B516,Config!$B$13:$B$76,0),2),"")</f>
        <v/>
      </c>
      <c r="D516" s="74"/>
      <c r="E516" s="14"/>
      <c r="F516" s="14"/>
      <c r="G516" s="14"/>
      <c r="H516" s="14"/>
      <c r="Z516" s="2" t="str">
        <f>IF($B516&lt;&gt;"",INDEX(Config!$B$13:$AZ$76,MATCH($B516,Config!$B$13:$B$76,0),26),"")</f>
        <v/>
      </c>
      <c r="BA516" s="2" t="str">
        <f t="shared" si="18"/>
        <v/>
      </c>
    </row>
    <row r="517" spans="1:53" x14ac:dyDescent="0.15">
      <c r="A517" s="26" t="str">
        <f t="shared" si="17"/>
        <v/>
      </c>
      <c r="B517" s="14"/>
      <c r="C517" s="28" t="str">
        <f>IF(TRIM($B517)&lt;&gt;"",INDEX(Config!$B$13:$L$76,MATCH($B517,Config!$B$13:$B$76,0),2),"")</f>
        <v/>
      </c>
      <c r="D517" s="74"/>
      <c r="E517" s="14"/>
      <c r="F517" s="14"/>
      <c r="G517" s="14"/>
      <c r="H517" s="14"/>
      <c r="Z517" s="2" t="str">
        <f>IF($B517&lt;&gt;"",INDEX(Config!$B$13:$AZ$76,MATCH($B517,Config!$B$13:$B$76,0),26),"")</f>
        <v/>
      </c>
      <c r="BA517" s="2" t="str">
        <f t="shared" si="18"/>
        <v/>
      </c>
    </row>
    <row r="518" spans="1:53" x14ac:dyDescent="0.15">
      <c r="A518" s="26" t="str">
        <f t="shared" si="17"/>
        <v/>
      </c>
      <c r="B518" s="14"/>
      <c r="C518" s="28" t="str">
        <f>IF(TRIM($B518)&lt;&gt;"",INDEX(Config!$B$13:$L$76,MATCH($B518,Config!$B$13:$B$76,0),2),"")</f>
        <v/>
      </c>
      <c r="D518" s="74"/>
      <c r="E518" s="14"/>
      <c r="F518" s="14"/>
      <c r="G518" s="14"/>
      <c r="H518" s="14"/>
      <c r="Z518" s="2" t="str">
        <f>IF($B518&lt;&gt;"",INDEX(Config!$B$13:$AZ$76,MATCH($B518,Config!$B$13:$B$76,0),26),"")</f>
        <v/>
      </c>
      <c r="BA518" s="2" t="str">
        <f t="shared" si="18"/>
        <v/>
      </c>
    </row>
    <row r="519" spans="1:53" x14ac:dyDescent="0.15">
      <c r="A519" s="26" t="str">
        <f t="shared" si="17"/>
        <v/>
      </c>
      <c r="B519" s="14"/>
      <c r="C519" s="28" t="str">
        <f>IF(TRIM($B519)&lt;&gt;"",INDEX(Config!$B$13:$L$76,MATCH($B519,Config!$B$13:$B$76,0),2),"")</f>
        <v/>
      </c>
      <c r="D519" s="74"/>
      <c r="E519" s="14"/>
      <c r="F519" s="14"/>
      <c r="G519" s="14"/>
      <c r="H519" s="14"/>
      <c r="Z519" s="2" t="str">
        <f>IF($B519&lt;&gt;"",INDEX(Config!$B$13:$AZ$76,MATCH($B519,Config!$B$13:$B$76,0),26),"")</f>
        <v/>
      </c>
      <c r="BA519" s="2" t="str">
        <f t="shared" si="18"/>
        <v/>
      </c>
    </row>
    <row r="520" spans="1:53" x14ac:dyDescent="0.15">
      <c r="A520" s="26" t="str">
        <f t="shared" ref="A520:A583" si="19">IF(B520&lt;&gt;"","#"&amp;ROW()-1,"")</f>
        <v/>
      </c>
      <c r="B520" s="14"/>
      <c r="C520" s="28" t="str">
        <f>IF(TRIM($B520)&lt;&gt;"",INDEX(Config!$B$13:$L$76,MATCH($B520,Config!$B$13:$B$76,0),2),"")</f>
        <v/>
      </c>
      <c r="D520" s="74"/>
      <c r="E520" s="14"/>
      <c r="F520" s="14"/>
      <c r="G520" s="14"/>
      <c r="H520" s="14"/>
      <c r="Z520" s="2" t="str">
        <f>IF($B520&lt;&gt;"",INDEX(Config!$B$13:$AZ$76,MATCH($B520,Config!$B$13:$B$76,0),26),"")</f>
        <v/>
      </c>
      <c r="BA520" s="2" t="str">
        <f t="shared" ref="BA520:BA583" si="20">IF($B520&lt;&gt;"",ROW()-1,"")</f>
        <v/>
      </c>
    </row>
    <row r="521" spans="1:53" x14ac:dyDescent="0.15">
      <c r="A521" s="26" t="str">
        <f t="shared" si="19"/>
        <v/>
      </c>
      <c r="B521" s="14"/>
      <c r="C521" s="28" t="str">
        <f>IF(TRIM($B521)&lt;&gt;"",INDEX(Config!$B$13:$L$76,MATCH($B521,Config!$B$13:$B$76,0),2),"")</f>
        <v/>
      </c>
      <c r="D521" s="74"/>
      <c r="E521" s="14"/>
      <c r="F521" s="14"/>
      <c r="G521" s="14"/>
      <c r="H521" s="14"/>
      <c r="Z521" s="2" t="str">
        <f>IF($B521&lt;&gt;"",INDEX(Config!$B$13:$AZ$76,MATCH($B521,Config!$B$13:$B$76,0),26),"")</f>
        <v/>
      </c>
      <c r="BA521" s="2" t="str">
        <f t="shared" si="20"/>
        <v/>
      </c>
    </row>
    <row r="522" spans="1:53" x14ac:dyDescent="0.15">
      <c r="A522" s="26" t="str">
        <f t="shared" si="19"/>
        <v/>
      </c>
      <c r="B522" s="14"/>
      <c r="C522" s="28" t="str">
        <f>IF(TRIM($B522)&lt;&gt;"",INDEX(Config!$B$13:$L$76,MATCH($B522,Config!$B$13:$B$76,0),2),"")</f>
        <v/>
      </c>
      <c r="D522" s="74"/>
      <c r="E522" s="14"/>
      <c r="F522" s="14"/>
      <c r="G522" s="14"/>
      <c r="H522" s="14"/>
      <c r="Z522" s="2" t="str">
        <f>IF($B522&lt;&gt;"",INDEX(Config!$B$13:$AZ$76,MATCH($B522,Config!$B$13:$B$76,0),26),"")</f>
        <v/>
      </c>
      <c r="BA522" s="2" t="str">
        <f t="shared" si="20"/>
        <v/>
      </c>
    </row>
    <row r="523" spans="1:53" x14ac:dyDescent="0.15">
      <c r="A523" s="26" t="str">
        <f t="shared" si="19"/>
        <v/>
      </c>
      <c r="B523" s="14"/>
      <c r="C523" s="28" t="str">
        <f>IF(TRIM($B523)&lt;&gt;"",INDEX(Config!$B$13:$L$76,MATCH($B523,Config!$B$13:$B$76,0),2),"")</f>
        <v/>
      </c>
      <c r="D523" s="74"/>
      <c r="E523" s="14"/>
      <c r="F523" s="14"/>
      <c r="G523" s="14"/>
      <c r="H523" s="14"/>
      <c r="Z523" s="2" t="str">
        <f>IF($B523&lt;&gt;"",INDEX(Config!$B$13:$AZ$76,MATCH($B523,Config!$B$13:$B$76,0),26),"")</f>
        <v/>
      </c>
      <c r="BA523" s="2" t="str">
        <f t="shared" si="20"/>
        <v/>
      </c>
    </row>
    <row r="524" spans="1:53" x14ac:dyDescent="0.15">
      <c r="A524" s="26" t="str">
        <f t="shared" si="19"/>
        <v/>
      </c>
      <c r="B524" s="14"/>
      <c r="C524" s="28" t="str">
        <f>IF(TRIM($B524)&lt;&gt;"",INDEX(Config!$B$13:$L$76,MATCH($B524,Config!$B$13:$B$76,0),2),"")</f>
        <v/>
      </c>
      <c r="D524" s="74"/>
      <c r="E524" s="14"/>
      <c r="F524" s="14"/>
      <c r="G524" s="14"/>
      <c r="H524" s="14"/>
      <c r="Z524" s="2" t="str">
        <f>IF($B524&lt;&gt;"",INDEX(Config!$B$13:$AZ$76,MATCH($B524,Config!$B$13:$B$76,0),26),"")</f>
        <v/>
      </c>
      <c r="BA524" s="2" t="str">
        <f t="shared" si="20"/>
        <v/>
      </c>
    </row>
    <row r="525" spans="1:53" x14ac:dyDescent="0.15">
      <c r="A525" s="26" t="str">
        <f t="shared" si="19"/>
        <v/>
      </c>
      <c r="B525" s="14"/>
      <c r="C525" s="28" t="str">
        <f>IF(TRIM($B525)&lt;&gt;"",INDEX(Config!$B$13:$L$76,MATCH($B525,Config!$B$13:$B$76,0),2),"")</f>
        <v/>
      </c>
      <c r="D525" s="74"/>
      <c r="E525" s="14"/>
      <c r="F525" s="14"/>
      <c r="G525" s="14"/>
      <c r="H525" s="14"/>
      <c r="Z525" s="2" t="str">
        <f>IF($B525&lt;&gt;"",INDEX(Config!$B$13:$AZ$76,MATCH($B525,Config!$B$13:$B$76,0),26),"")</f>
        <v/>
      </c>
      <c r="BA525" s="2" t="str">
        <f t="shared" si="20"/>
        <v/>
      </c>
    </row>
    <row r="526" spans="1:53" x14ac:dyDescent="0.15">
      <c r="A526" s="26" t="str">
        <f t="shared" si="19"/>
        <v/>
      </c>
      <c r="B526" s="14"/>
      <c r="C526" s="28" t="str">
        <f>IF(TRIM($B526)&lt;&gt;"",INDEX(Config!$B$13:$L$76,MATCH($B526,Config!$B$13:$B$76,0),2),"")</f>
        <v/>
      </c>
      <c r="D526" s="74"/>
      <c r="E526" s="14"/>
      <c r="F526" s="14"/>
      <c r="G526" s="14"/>
      <c r="H526" s="14"/>
      <c r="Z526" s="2" t="str">
        <f>IF($B526&lt;&gt;"",INDEX(Config!$B$13:$AZ$76,MATCH($B526,Config!$B$13:$B$76,0),26),"")</f>
        <v/>
      </c>
      <c r="BA526" s="2" t="str">
        <f t="shared" si="20"/>
        <v/>
      </c>
    </row>
    <row r="527" spans="1:53" x14ac:dyDescent="0.15">
      <c r="A527" s="26" t="str">
        <f t="shared" si="19"/>
        <v/>
      </c>
      <c r="B527" s="14"/>
      <c r="C527" s="28" t="str">
        <f>IF(TRIM($B527)&lt;&gt;"",INDEX(Config!$B$13:$L$76,MATCH($B527,Config!$B$13:$B$76,0),2),"")</f>
        <v/>
      </c>
      <c r="D527" s="74"/>
      <c r="E527" s="14"/>
      <c r="F527" s="14"/>
      <c r="G527" s="14"/>
      <c r="H527" s="14"/>
      <c r="Z527" s="2" t="str">
        <f>IF($B527&lt;&gt;"",INDEX(Config!$B$13:$AZ$76,MATCH($B527,Config!$B$13:$B$76,0),26),"")</f>
        <v/>
      </c>
      <c r="BA527" s="2" t="str">
        <f t="shared" si="20"/>
        <v/>
      </c>
    </row>
    <row r="528" spans="1:53" x14ac:dyDescent="0.15">
      <c r="A528" s="26" t="str">
        <f t="shared" si="19"/>
        <v/>
      </c>
      <c r="B528" s="14"/>
      <c r="C528" s="28" t="str">
        <f>IF(TRIM($B528)&lt;&gt;"",INDEX(Config!$B$13:$L$76,MATCH($B528,Config!$B$13:$B$76,0),2),"")</f>
        <v/>
      </c>
      <c r="D528" s="74"/>
      <c r="E528" s="14"/>
      <c r="F528" s="14"/>
      <c r="G528" s="14"/>
      <c r="H528" s="14"/>
      <c r="Z528" s="2" t="str">
        <f>IF($B528&lt;&gt;"",INDEX(Config!$B$13:$AZ$76,MATCH($B528,Config!$B$13:$B$76,0),26),"")</f>
        <v/>
      </c>
      <c r="BA528" s="2" t="str">
        <f t="shared" si="20"/>
        <v/>
      </c>
    </row>
    <row r="529" spans="1:53" x14ac:dyDescent="0.15">
      <c r="A529" s="26" t="str">
        <f t="shared" si="19"/>
        <v/>
      </c>
      <c r="B529" s="14"/>
      <c r="C529" s="28" t="str">
        <f>IF(TRIM($B529)&lt;&gt;"",INDEX(Config!$B$13:$L$76,MATCH($B529,Config!$B$13:$B$76,0),2),"")</f>
        <v/>
      </c>
      <c r="D529" s="74"/>
      <c r="E529" s="14"/>
      <c r="F529" s="14"/>
      <c r="G529" s="14"/>
      <c r="H529" s="14"/>
      <c r="Z529" s="2" t="str">
        <f>IF($B529&lt;&gt;"",INDEX(Config!$B$13:$AZ$76,MATCH($B529,Config!$B$13:$B$76,0),26),"")</f>
        <v/>
      </c>
      <c r="BA529" s="2" t="str">
        <f t="shared" si="20"/>
        <v/>
      </c>
    </row>
    <row r="530" spans="1:53" x14ac:dyDescent="0.15">
      <c r="A530" s="26" t="str">
        <f t="shared" si="19"/>
        <v/>
      </c>
      <c r="B530" s="14"/>
      <c r="C530" s="28" t="str">
        <f>IF(TRIM($B530)&lt;&gt;"",INDEX(Config!$B$13:$L$76,MATCH($B530,Config!$B$13:$B$76,0),2),"")</f>
        <v/>
      </c>
      <c r="D530" s="74"/>
      <c r="E530" s="14"/>
      <c r="F530" s="14"/>
      <c r="G530" s="14"/>
      <c r="H530" s="14"/>
      <c r="Z530" s="2" t="str">
        <f>IF($B530&lt;&gt;"",INDEX(Config!$B$13:$AZ$76,MATCH($B530,Config!$B$13:$B$76,0),26),"")</f>
        <v/>
      </c>
      <c r="BA530" s="2" t="str">
        <f t="shared" si="20"/>
        <v/>
      </c>
    </row>
    <row r="531" spans="1:53" x14ac:dyDescent="0.15">
      <c r="A531" s="26" t="str">
        <f t="shared" si="19"/>
        <v/>
      </c>
      <c r="B531" s="14"/>
      <c r="C531" s="28" t="str">
        <f>IF(TRIM($B531)&lt;&gt;"",INDEX(Config!$B$13:$L$76,MATCH($B531,Config!$B$13:$B$76,0),2),"")</f>
        <v/>
      </c>
      <c r="D531" s="74"/>
      <c r="E531" s="14"/>
      <c r="F531" s="14"/>
      <c r="G531" s="14"/>
      <c r="H531" s="14"/>
      <c r="Z531" s="2" t="str">
        <f>IF($B531&lt;&gt;"",INDEX(Config!$B$13:$AZ$76,MATCH($B531,Config!$B$13:$B$76,0),26),"")</f>
        <v/>
      </c>
      <c r="BA531" s="2" t="str">
        <f t="shared" si="20"/>
        <v/>
      </c>
    </row>
    <row r="532" spans="1:53" x14ac:dyDescent="0.15">
      <c r="A532" s="26" t="str">
        <f t="shared" si="19"/>
        <v/>
      </c>
      <c r="B532" s="14"/>
      <c r="C532" s="28" t="str">
        <f>IF(TRIM($B532)&lt;&gt;"",INDEX(Config!$B$13:$L$76,MATCH($B532,Config!$B$13:$B$76,0),2),"")</f>
        <v/>
      </c>
      <c r="D532" s="74"/>
      <c r="E532" s="14"/>
      <c r="F532" s="14"/>
      <c r="G532" s="14"/>
      <c r="H532" s="14"/>
      <c r="Z532" s="2" t="str">
        <f>IF($B532&lt;&gt;"",INDEX(Config!$B$13:$AZ$76,MATCH($B532,Config!$B$13:$B$76,0),26),"")</f>
        <v/>
      </c>
      <c r="BA532" s="2" t="str">
        <f t="shared" si="20"/>
        <v/>
      </c>
    </row>
    <row r="533" spans="1:53" x14ac:dyDescent="0.15">
      <c r="A533" s="26" t="str">
        <f t="shared" si="19"/>
        <v/>
      </c>
      <c r="B533" s="14"/>
      <c r="C533" s="28" t="str">
        <f>IF(TRIM($B533)&lt;&gt;"",INDEX(Config!$B$13:$L$76,MATCH($B533,Config!$B$13:$B$76,0),2),"")</f>
        <v/>
      </c>
      <c r="D533" s="74"/>
      <c r="E533" s="14"/>
      <c r="F533" s="14"/>
      <c r="G533" s="14"/>
      <c r="H533" s="14"/>
      <c r="Z533" s="2" t="str">
        <f>IF($B533&lt;&gt;"",INDEX(Config!$B$13:$AZ$76,MATCH($B533,Config!$B$13:$B$76,0),26),"")</f>
        <v/>
      </c>
      <c r="BA533" s="2" t="str">
        <f t="shared" si="20"/>
        <v/>
      </c>
    </row>
    <row r="534" spans="1:53" x14ac:dyDescent="0.15">
      <c r="A534" s="26" t="str">
        <f t="shared" si="19"/>
        <v/>
      </c>
      <c r="B534" s="14"/>
      <c r="C534" s="28" t="str">
        <f>IF(TRIM($B534)&lt;&gt;"",INDEX(Config!$B$13:$L$76,MATCH($B534,Config!$B$13:$B$76,0),2),"")</f>
        <v/>
      </c>
      <c r="D534" s="74"/>
      <c r="E534" s="14"/>
      <c r="F534" s="14"/>
      <c r="G534" s="14"/>
      <c r="H534" s="14"/>
      <c r="Z534" s="2" t="str">
        <f>IF($B534&lt;&gt;"",INDEX(Config!$B$13:$AZ$76,MATCH($B534,Config!$B$13:$B$76,0),26),"")</f>
        <v/>
      </c>
      <c r="BA534" s="2" t="str">
        <f t="shared" si="20"/>
        <v/>
      </c>
    </row>
    <row r="535" spans="1:53" x14ac:dyDescent="0.15">
      <c r="A535" s="26" t="str">
        <f t="shared" si="19"/>
        <v/>
      </c>
      <c r="B535" s="14"/>
      <c r="C535" s="28" t="str">
        <f>IF(TRIM($B535)&lt;&gt;"",INDEX(Config!$B$13:$L$76,MATCH($B535,Config!$B$13:$B$76,0),2),"")</f>
        <v/>
      </c>
      <c r="D535" s="74"/>
      <c r="E535" s="14"/>
      <c r="F535" s="14"/>
      <c r="G535" s="14"/>
      <c r="H535" s="14"/>
      <c r="Z535" s="2" t="str">
        <f>IF($B535&lt;&gt;"",INDEX(Config!$B$13:$AZ$76,MATCH($B535,Config!$B$13:$B$76,0),26),"")</f>
        <v/>
      </c>
      <c r="BA535" s="2" t="str">
        <f t="shared" si="20"/>
        <v/>
      </c>
    </row>
    <row r="536" spans="1:53" x14ac:dyDescent="0.15">
      <c r="A536" s="26" t="str">
        <f t="shared" si="19"/>
        <v/>
      </c>
      <c r="B536" s="14"/>
      <c r="C536" s="28" t="str">
        <f>IF(TRIM($B536)&lt;&gt;"",INDEX(Config!$B$13:$L$76,MATCH($B536,Config!$B$13:$B$76,0),2),"")</f>
        <v/>
      </c>
      <c r="D536" s="74"/>
      <c r="E536" s="14"/>
      <c r="F536" s="14"/>
      <c r="G536" s="14"/>
      <c r="H536" s="14"/>
      <c r="Z536" s="2" t="str">
        <f>IF($B536&lt;&gt;"",INDEX(Config!$B$13:$AZ$76,MATCH($B536,Config!$B$13:$B$76,0),26),"")</f>
        <v/>
      </c>
      <c r="BA536" s="2" t="str">
        <f t="shared" si="20"/>
        <v/>
      </c>
    </row>
    <row r="537" spans="1:53" x14ac:dyDescent="0.15">
      <c r="A537" s="26" t="str">
        <f t="shared" si="19"/>
        <v/>
      </c>
      <c r="B537" s="14"/>
      <c r="C537" s="28" t="str">
        <f>IF(TRIM($B537)&lt;&gt;"",INDEX(Config!$B$13:$L$76,MATCH($B537,Config!$B$13:$B$76,0),2),"")</f>
        <v/>
      </c>
      <c r="D537" s="74"/>
      <c r="E537" s="14"/>
      <c r="F537" s="14"/>
      <c r="G537" s="14"/>
      <c r="H537" s="14"/>
      <c r="Z537" s="2" t="str">
        <f>IF($B537&lt;&gt;"",INDEX(Config!$B$13:$AZ$76,MATCH($B537,Config!$B$13:$B$76,0),26),"")</f>
        <v/>
      </c>
      <c r="BA537" s="2" t="str">
        <f t="shared" si="20"/>
        <v/>
      </c>
    </row>
    <row r="538" spans="1:53" x14ac:dyDescent="0.15">
      <c r="A538" s="26" t="str">
        <f t="shared" si="19"/>
        <v/>
      </c>
      <c r="B538" s="14"/>
      <c r="C538" s="28" t="str">
        <f>IF(TRIM($B538)&lt;&gt;"",INDEX(Config!$B$13:$L$76,MATCH($B538,Config!$B$13:$B$76,0),2),"")</f>
        <v/>
      </c>
      <c r="D538" s="74"/>
      <c r="E538" s="14"/>
      <c r="F538" s="14"/>
      <c r="G538" s="14"/>
      <c r="H538" s="14"/>
      <c r="Z538" s="2" t="str">
        <f>IF($B538&lt;&gt;"",INDEX(Config!$B$13:$AZ$76,MATCH($B538,Config!$B$13:$B$76,0),26),"")</f>
        <v/>
      </c>
      <c r="BA538" s="2" t="str">
        <f t="shared" si="20"/>
        <v/>
      </c>
    </row>
    <row r="539" spans="1:53" x14ac:dyDescent="0.15">
      <c r="A539" s="26" t="str">
        <f t="shared" si="19"/>
        <v/>
      </c>
      <c r="B539" s="14"/>
      <c r="C539" s="28" t="str">
        <f>IF(TRIM($B539)&lt;&gt;"",INDEX(Config!$B$13:$L$76,MATCH($B539,Config!$B$13:$B$76,0),2),"")</f>
        <v/>
      </c>
      <c r="D539" s="74"/>
      <c r="E539" s="14"/>
      <c r="F539" s="14"/>
      <c r="G539" s="14"/>
      <c r="H539" s="14"/>
      <c r="Z539" s="2" t="str">
        <f>IF($B539&lt;&gt;"",INDEX(Config!$B$13:$AZ$76,MATCH($B539,Config!$B$13:$B$76,0),26),"")</f>
        <v/>
      </c>
      <c r="BA539" s="2" t="str">
        <f t="shared" si="20"/>
        <v/>
      </c>
    </row>
    <row r="540" spans="1:53" x14ac:dyDescent="0.15">
      <c r="A540" s="26" t="str">
        <f t="shared" si="19"/>
        <v/>
      </c>
      <c r="B540" s="14"/>
      <c r="C540" s="28" t="str">
        <f>IF(TRIM($B540)&lt;&gt;"",INDEX(Config!$B$13:$L$76,MATCH($B540,Config!$B$13:$B$76,0),2),"")</f>
        <v/>
      </c>
      <c r="D540" s="74"/>
      <c r="E540" s="14"/>
      <c r="F540" s="14"/>
      <c r="G540" s="14"/>
      <c r="H540" s="14"/>
      <c r="Z540" s="2" t="str">
        <f>IF($B540&lt;&gt;"",INDEX(Config!$B$13:$AZ$76,MATCH($B540,Config!$B$13:$B$76,0),26),"")</f>
        <v/>
      </c>
      <c r="BA540" s="2" t="str">
        <f t="shared" si="20"/>
        <v/>
      </c>
    </row>
    <row r="541" spans="1:53" x14ac:dyDescent="0.15">
      <c r="A541" s="26" t="str">
        <f t="shared" si="19"/>
        <v/>
      </c>
      <c r="B541" s="14"/>
      <c r="C541" s="28" t="str">
        <f>IF(TRIM($B541)&lt;&gt;"",INDEX(Config!$B$13:$L$76,MATCH($B541,Config!$B$13:$B$76,0),2),"")</f>
        <v/>
      </c>
      <c r="D541" s="74"/>
      <c r="E541" s="14"/>
      <c r="F541" s="14"/>
      <c r="G541" s="14"/>
      <c r="H541" s="14"/>
      <c r="Z541" s="2" t="str">
        <f>IF($B541&lt;&gt;"",INDEX(Config!$B$13:$AZ$76,MATCH($B541,Config!$B$13:$B$76,0),26),"")</f>
        <v/>
      </c>
      <c r="BA541" s="2" t="str">
        <f t="shared" si="20"/>
        <v/>
      </c>
    </row>
    <row r="542" spans="1:53" x14ac:dyDescent="0.15">
      <c r="A542" s="26" t="str">
        <f t="shared" si="19"/>
        <v/>
      </c>
      <c r="B542" s="14"/>
      <c r="C542" s="28" t="str">
        <f>IF(TRIM($B542)&lt;&gt;"",INDEX(Config!$B$13:$L$76,MATCH($B542,Config!$B$13:$B$76,0),2),"")</f>
        <v/>
      </c>
      <c r="D542" s="74"/>
      <c r="E542" s="14"/>
      <c r="F542" s="14"/>
      <c r="G542" s="14"/>
      <c r="H542" s="14"/>
      <c r="Z542" s="2" t="str">
        <f>IF($B542&lt;&gt;"",INDEX(Config!$B$13:$AZ$76,MATCH($B542,Config!$B$13:$B$76,0),26),"")</f>
        <v/>
      </c>
      <c r="BA542" s="2" t="str">
        <f t="shared" si="20"/>
        <v/>
      </c>
    </row>
    <row r="543" spans="1:53" x14ac:dyDescent="0.15">
      <c r="A543" s="26" t="str">
        <f t="shared" si="19"/>
        <v/>
      </c>
      <c r="B543" s="14"/>
      <c r="C543" s="28" t="str">
        <f>IF(TRIM($B543)&lt;&gt;"",INDEX(Config!$B$13:$L$76,MATCH($B543,Config!$B$13:$B$76,0),2),"")</f>
        <v/>
      </c>
      <c r="D543" s="74"/>
      <c r="E543" s="14"/>
      <c r="F543" s="14"/>
      <c r="G543" s="14"/>
      <c r="H543" s="14"/>
      <c r="Z543" s="2" t="str">
        <f>IF($B543&lt;&gt;"",INDEX(Config!$B$13:$AZ$76,MATCH($B543,Config!$B$13:$B$76,0),26),"")</f>
        <v/>
      </c>
      <c r="BA543" s="2" t="str">
        <f t="shared" si="20"/>
        <v/>
      </c>
    </row>
    <row r="544" spans="1:53" x14ac:dyDescent="0.15">
      <c r="A544" s="26" t="str">
        <f t="shared" si="19"/>
        <v/>
      </c>
      <c r="B544" s="14"/>
      <c r="C544" s="28" t="str">
        <f>IF(TRIM($B544)&lt;&gt;"",INDEX(Config!$B$13:$L$76,MATCH($B544,Config!$B$13:$B$76,0),2),"")</f>
        <v/>
      </c>
      <c r="D544" s="74"/>
      <c r="E544" s="14"/>
      <c r="F544" s="14"/>
      <c r="G544" s="14"/>
      <c r="H544" s="14"/>
      <c r="Z544" s="2" t="str">
        <f>IF($B544&lt;&gt;"",INDEX(Config!$B$13:$AZ$76,MATCH($B544,Config!$B$13:$B$76,0),26),"")</f>
        <v/>
      </c>
      <c r="BA544" s="2" t="str">
        <f t="shared" si="20"/>
        <v/>
      </c>
    </row>
    <row r="545" spans="1:53" x14ac:dyDescent="0.15">
      <c r="A545" s="26" t="str">
        <f t="shared" si="19"/>
        <v/>
      </c>
      <c r="B545" s="14"/>
      <c r="C545" s="28" t="str">
        <f>IF(TRIM($B545)&lt;&gt;"",INDEX(Config!$B$13:$L$76,MATCH($B545,Config!$B$13:$B$76,0),2),"")</f>
        <v/>
      </c>
      <c r="D545" s="74"/>
      <c r="E545" s="14"/>
      <c r="F545" s="14"/>
      <c r="G545" s="14"/>
      <c r="H545" s="14"/>
      <c r="Z545" s="2" t="str">
        <f>IF($B545&lt;&gt;"",INDEX(Config!$B$13:$AZ$76,MATCH($B545,Config!$B$13:$B$76,0),26),"")</f>
        <v/>
      </c>
      <c r="BA545" s="2" t="str">
        <f t="shared" si="20"/>
        <v/>
      </c>
    </row>
    <row r="546" spans="1:53" x14ac:dyDescent="0.15">
      <c r="A546" s="26" t="str">
        <f t="shared" si="19"/>
        <v/>
      </c>
      <c r="B546" s="14"/>
      <c r="C546" s="28" t="str">
        <f>IF(TRIM($B546)&lt;&gt;"",INDEX(Config!$B$13:$L$76,MATCH($B546,Config!$B$13:$B$76,0),2),"")</f>
        <v/>
      </c>
      <c r="D546" s="74"/>
      <c r="E546" s="14"/>
      <c r="F546" s="14"/>
      <c r="G546" s="14"/>
      <c r="H546" s="14"/>
      <c r="Z546" s="2" t="str">
        <f>IF($B546&lt;&gt;"",INDEX(Config!$B$13:$AZ$76,MATCH($B546,Config!$B$13:$B$76,0),26),"")</f>
        <v/>
      </c>
      <c r="BA546" s="2" t="str">
        <f t="shared" si="20"/>
        <v/>
      </c>
    </row>
    <row r="547" spans="1:53" x14ac:dyDescent="0.15">
      <c r="A547" s="26" t="str">
        <f t="shared" si="19"/>
        <v/>
      </c>
      <c r="B547" s="14"/>
      <c r="C547" s="28" t="str">
        <f>IF(TRIM($B547)&lt;&gt;"",INDEX(Config!$B$13:$L$76,MATCH($B547,Config!$B$13:$B$76,0),2),"")</f>
        <v/>
      </c>
      <c r="D547" s="74"/>
      <c r="E547" s="14"/>
      <c r="F547" s="14"/>
      <c r="G547" s="14"/>
      <c r="H547" s="14"/>
      <c r="Z547" s="2" t="str">
        <f>IF($B547&lt;&gt;"",INDEX(Config!$B$13:$AZ$76,MATCH($B547,Config!$B$13:$B$76,0),26),"")</f>
        <v/>
      </c>
      <c r="BA547" s="2" t="str">
        <f t="shared" si="20"/>
        <v/>
      </c>
    </row>
    <row r="548" spans="1:53" x14ac:dyDescent="0.15">
      <c r="A548" s="26" t="str">
        <f t="shared" si="19"/>
        <v/>
      </c>
      <c r="B548" s="14"/>
      <c r="C548" s="28" t="str">
        <f>IF(TRIM($B548)&lt;&gt;"",INDEX(Config!$B$13:$L$76,MATCH($B548,Config!$B$13:$B$76,0),2),"")</f>
        <v/>
      </c>
      <c r="D548" s="74"/>
      <c r="E548" s="14"/>
      <c r="F548" s="14"/>
      <c r="G548" s="14"/>
      <c r="H548" s="14"/>
      <c r="Z548" s="2" t="str">
        <f>IF($B548&lt;&gt;"",INDEX(Config!$B$13:$AZ$76,MATCH($B548,Config!$B$13:$B$76,0),26),"")</f>
        <v/>
      </c>
      <c r="BA548" s="2" t="str">
        <f t="shared" si="20"/>
        <v/>
      </c>
    </row>
    <row r="549" spans="1:53" x14ac:dyDescent="0.15">
      <c r="A549" s="26" t="str">
        <f t="shared" si="19"/>
        <v/>
      </c>
      <c r="B549" s="14"/>
      <c r="C549" s="28" t="str">
        <f>IF(TRIM($B549)&lt;&gt;"",INDEX(Config!$B$13:$L$76,MATCH($B549,Config!$B$13:$B$76,0),2),"")</f>
        <v/>
      </c>
      <c r="D549" s="74"/>
      <c r="E549" s="14"/>
      <c r="F549" s="14"/>
      <c r="G549" s="14"/>
      <c r="H549" s="14"/>
      <c r="Z549" s="2" t="str">
        <f>IF($B549&lt;&gt;"",INDEX(Config!$B$13:$AZ$76,MATCH($B549,Config!$B$13:$B$76,0),26),"")</f>
        <v/>
      </c>
      <c r="BA549" s="2" t="str">
        <f t="shared" si="20"/>
        <v/>
      </c>
    </row>
    <row r="550" spans="1:53" x14ac:dyDescent="0.15">
      <c r="A550" s="26" t="str">
        <f t="shared" si="19"/>
        <v/>
      </c>
      <c r="B550" s="14"/>
      <c r="C550" s="28" t="str">
        <f>IF(TRIM($B550)&lt;&gt;"",INDEX(Config!$B$13:$L$76,MATCH($B550,Config!$B$13:$B$76,0),2),"")</f>
        <v/>
      </c>
      <c r="D550" s="74"/>
      <c r="E550" s="14"/>
      <c r="F550" s="14"/>
      <c r="G550" s="14"/>
      <c r="H550" s="14"/>
      <c r="Z550" s="2" t="str">
        <f>IF($B550&lt;&gt;"",INDEX(Config!$B$13:$AZ$76,MATCH($B550,Config!$B$13:$B$76,0),26),"")</f>
        <v/>
      </c>
      <c r="BA550" s="2" t="str">
        <f t="shared" si="20"/>
        <v/>
      </c>
    </row>
    <row r="551" spans="1:53" x14ac:dyDescent="0.15">
      <c r="A551" s="26" t="str">
        <f t="shared" si="19"/>
        <v/>
      </c>
      <c r="B551" s="14"/>
      <c r="C551" s="28" t="str">
        <f>IF(TRIM($B551)&lt;&gt;"",INDEX(Config!$B$13:$L$76,MATCH($B551,Config!$B$13:$B$76,0),2),"")</f>
        <v/>
      </c>
      <c r="D551" s="74"/>
      <c r="E551" s="14"/>
      <c r="F551" s="14"/>
      <c r="G551" s="14"/>
      <c r="H551" s="14"/>
      <c r="Z551" s="2" t="str">
        <f>IF($B551&lt;&gt;"",INDEX(Config!$B$13:$AZ$76,MATCH($B551,Config!$B$13:$B$76,0),26),"")</f>
        <v/>
      </c>
      <c r="BA551" s="2" t="str">
        <f t="shared" si="20"/>
        <v/>
      </c>
    </row>
    <row r="552" spans="1:53" x14ac:dyDescent="0.15">
      <c r="A552" s="26" t="str">
        <f t="shared" si="19"/>
        <v/>
      </c>
      <c r="B552" s="14"/>
      <c r="C552" s="28" t="str">
        <f>IF(TRIM($B552)&lt;&gt;"",INDEX(Config!$B$13:$L$76,MATCH($B552,Config!$B$13:$B$76,0),2),"")</f>
        <v/>
      </c>
      <c r="D552" s="74"/>
      <c r="E552" s="14"/>
      <c r="F552" s="14"/>
      <c r="G552" s="14"/>
      <c r="H552" s="14"/>
      <c r="Z552" s="2" t="str">
        <f>IF($B552&lt;&gt;"",INDEX(Config!$B$13:$AZ$76,MATCH($B552,Config!$B$13:$B$76,0),26),"")</f>
        <v/>
      </c>
      <c r="BA552" s="2" t="str">
        <f t="shared" si="20"/>
        <v/>
      </c>
    </row>
    <row r="553" spans="1:53" x14ac:dyDescent="0.15">
      <c r="A553" s="26" t="str">
        <f t="shared" si="19"/>
        <v/>
      </c>
      <c r="B553" s="14"/>
      <c r="C553" s="28" t="str">
        <f>IF(TRIM($B553)&lt;&gt;"",INDEX(Config!$B$13:$L$76,MATCH($B553,Config!$B$13:$B$76,0),2),"")</f>
        <v/>
      </c>
      <c r="D553" s="74"/>
      <c r="E553" s="14"/>
      <c r="F553" s="14"/>
      <c r="G553" s="14"/>
      <c r="H553" s="14"/>
      <c r="Z553" s="2" t="str">
        <f>IF($B553&lt;&gt;"",INDEX(Config!$B$13:$AZ$76,MATCH($B553,Config!$B$13:$B$76,0),26),"")</f>
        <v/>
      </c>
      <c r="BA553" s="2" t="str">
        <f t="shared" si="20"/>
        <v/>
      </c>
    </row>
    <row r="554" spans="1:53" x14ac:dyDescent="0.15">
      <c r="A554" s="26" t="str">
        <f t="shared" si="19"/>
        <v/>
      </c>
      <c r="B554" s="14"/>
      <c r="C554" s="28" t="str">
        <f>IF(TRIM($B554)&lt;&gt;"",INDEX(Config!$B$13:$L$76,MATCH($B554,Config!$B$13:$B$76,0),2),"")</f>
        <v/>
      </c>
      <c r="D554" s="74"/>
      <c r="E554" s="14"/>
      <c r="F554" s="14"/>
      <c r="G554" s="14"/>
      <c r="H554" s="14"/>
      <c r="Z554" s="2" t="str">
        <f>IF($B554&lt;&gt;"",INDEX(Config!$B$13:$AZ$76,MATCH($B554,Config!$B$13:$B$76,0),26),"")</f>
        <v/>
      </c>
      <c r="BA554" s="2" t="str">
        <f t="shared" si="20"/>
        <v/>
      </c>
    </row>
    <row r="555" spans="1:53" x14ac:dyDescent="0.15">
      <c r="A555" s="26" t="str">
        <f t="shared" si="19"/>
        <v/>
      </c>
      <c r="B555" s="14"/>
      <c r="C555" s="28" t="str">
        <f>IF(TRIM($B555)&lt;&gt;"",INDEX(Config!$B$13:$L$76,MATCH($B555,Config!$B$13:$B$76,0),2),"")</f>
        <v/>
      </c>
      <c r="D555" s="74"/>
      <c r="E555" s="14"/>
      <c r="F555" s="14"/>
      <c r="G555" s="14"/>
      <c r="H555" s="14"/>
      <c r="Z555" s="2" t="str">
        <f>IF($B555&lt;&gt;"",INDEX(Config!$B$13:$AZ$76,MATCH($B555,Config!$B$13:$B$76,0),26),"")</f>
        <v/>
      </c>
      <c r="BA555" s="2" t="str">
        <f t="shared" si="20"/>
        <v/>
      </c>
    </row>
    <row r="556" spans="1:53" x14ac:dyDescent="0.15">
      <c r="A556" s="26" t="str">
        <f t="shared" si="19"/>
        <v/>
      </c>
      <c r="B556" s="14"/>
      <c r="C556" s="28" t="str">
        <f>IF(TRIM($B556)&lt;&gt;"",INDEX(Config!$B$13:$L$76,MATCH($B556,Config!$B$13:$B$76,0),2),"")</f>
        <v/>
      </c>
      <c r="D556" s="74"/>
      <c r="E556" s="14"/>
      <c r="F556" s="14"/>
      <c r="G556" s="14"/>
      <c r="H556" s="14"/>
      <c r="Z556" s="2" t="str">
        <f>IF($B556&lt;&gt;"",INDEX(Config!$B$13:$AZ$76,MATCH($B556,Config!$B$13:$B$76,0),26),"")</f>
        <v/>
      </c>
      <c r="BA556" s="2" t="str">
        <f t="shared" si="20"/>
        <v/>
      </c>
    </row>
    <row r="557" spans="1:53" x14ac:dyDescent="0.15">
      <c r="A557" s="26" t="str">
        <f t="shared" si="19"/>
        <v/>
      </c>
      <c r="B557" s="14"/>
      <c r="C557" s="28" t="str">
        <f>IF(TRIM($B557)&lt;&gt;"",INDEX(Config!$B$13:$L$76,MATCH($B557,Config!$B$13:$B$76,0),2),"")</f>
        <v/>
      </c>
      <c r="D557" s="74"/>
      <c r="E557" s="14"/>
      <c r="F557" s="14"/>
      <c r="G557" s="14"/>
      <c r="H557" s="14"/>
      <c r="Z557" s="2" t="str">
        <f>IF($B557&lt;&gt;"",INDEX(Config!$B$13:$AZ$76,MATCH($B557,Config!$B$13:$B$76,0),26),"")</f>
        <v/>
      </c>
      <c r="BA557" s="2" t="str">
        <f t="shared" si="20"/>
        <v/>
      </c>
    </row>
    <row r="558" spans="1:53" x14ac:dyDescent="0.15">
      <c r="A558" s="26" t="str">
        <f t="shared" si="19"/>
        <v/>
      </c>
      <c r="B558" s="14"/>
      <c r="C558" s="28" t="str">
        <f>IF(TRIM($B558)&lt;&gt;"",INDEX(Config!$B$13:$L$76,MATCH($B558,Config!$B$13:$B$76,0),2),"")</f>
        <v/>
      </c>
      <c r="D558" s="74"/>
      <c r="E558" s="14"/>
      <c r="F558" s="14"/>
      <c r="G558" s="14"/>
      <c r="H558" s="14"/>
      <c r="Z558" s="2" t="str">
        <f>IF($B558&lt;&gt;"",INDEX(Config!$B$13:$AZ$76,MATCH($B558,Config!$B$13:$B$76,0),26),"")</f>
        <v/>
      </c>
      <c r="BA558" s="2" t="str">
        <f t="shared" si="20"/>
        <v/>
      </c>
    </row>
    <row r="559" spans="1:53" x14ac:dyDescent="0.15">
      <c r="A559" s="26" t="str">
        <f t="shared" si="19"/>
        <v/>
      </c>
      <c r="B559" s="14"/>
      <c r="C559" s="28" t="str">
        <f>IF(TRIM($B559)&lt;&gt;"",INDEX(Config!$B$13:$L$76,MATCH($B559,Config!$B$13:$B$76,0),2),"")</f>
        <v/>
      </c>
      <c r="D559" s="74"/>
      <c r="E559" s="14"/>
      <c r="F559" s="14"/>
      <c r="G559" s="14"/>
      <c r="H559" s="14"/>
      <c r="Z559" s="2" t="str">
        <f>IF($B559&lt;&gt;"",INDEX(Config!$B$13:$AZ$76,MATCH($B559,Config!$B$13:$B$76,0),26),"")</f>
        <v/>
      </c>
      <c r="BA559" s="2" t="str">
        <f t="shared" si="20"/>
        <v/>
      </c>
    </row>
    <row r="560" spans="1:53" x14ac:dyDescent="0.15">
      <c r="A560" s="26" t="str">
        <f t="shared" si="19"/>
        <v/>
      </c>
      <c r="B560" s="14"/>
      <c r="C560" s="28" t="str">
        <f>IF(TRIM($B560)&lt;&gt;"",INDEX(Config!$B$13:$L$76,MATCH($B560,Config!$B$13:$B$76,0),2),"")</f>
        <v/>
      </c>
      <c r="D560" s="74"/>
      <c r="E560" s="14"/>
      <c r="F560" s="14"/>
      <c r="G560" s="14"/>
      <c r="H560" s="14"/>
      <c r="Z560" s="2" t="str">
        <f>IF($B560&lt;&gt;"",INDEX(Config!$B$13:$AZ$76,MATCH($B560,Config!$B$13:$B$76,0),26),"")</f>
        <v/>
      </c>
      <c r="BA560" s="2" t="str">
        <f t="shared" si="20"/>
        <v/>
      </c>
    </row>
    <row r="561" spans="1:53" x14ac:dyDescent="0.15">
      <c r="A561" s="26" t="str">
        <f t="shared" si="19"/>
        <v/>
      </c>
      <c r="B561" s="14"/>
      <c r="C561" s="28" t="str">
        <f>IF(TRIM($B561)&lt;&gt;"",INDEX(Config!$B$13:$L$76,MATCH($B561,Config!$B$13:$B$76,0),2),"")</f>
        <v/>
      </c>
      <c r="D561" s="74"/>
      <c r="E561" s="14"/>
      <c r="F561" s="14"/>
      <c r="G561" s="14"/>
      <c r="H561" s="14"/>
      <c r="Z561" s="2" t="str">
        <f>IF($B561&lt;&gt;"",INDEX(Config!$B$13:$AZ$76,MATCH($B561,Config!$B$13:$B$76,0),26),"")</f>
        <v/>
      </c>
      <c r="BA561" s="2" t="str">
        <f t="shared" si="20"/>
        <v/>
      </c>
    </row>
    <row r="562" spans="1:53" x14ac:dyDescent="0.15">
      <c r="A562" s="26" t="str">
        <f t="shared" si="19"/>
        <v/>
      </c>
      <c r="B562" s="14"/>
      <c r="C562" s="28" t="str">
        <f>IF(TRIM($B562)&lt;&gt;"",INDEX(Config!$B$13:$L$76,MATCH($B562,Config!$B$13:$B$76,0),2),"")</f>
        <v/>
      </c>
      <c r="D562" s="74"/>
      <c r="E562" s="14"/>
      <c r="F562" s="14"/>
      <c r="G562" s="14"/>
      <c r="H562" s="14"/>
      <c r="Z562" s="2" t="str">
        <f>IF($B562&lt;&gt;"",INDEX(Config!$B$13:$AZ$76,MATCH($B562,Config!$B$13:$B$76,0),26),"")</f>
        <v/>
      </c>
      <c r="BA562" s="2" t="str">
        <f t="shared" si="20"/>
        <v/>
      </c>
    </row>
    <row r="563" spans="1:53" x14ac:dyDescent="0.15">
      <c r="A563" s="26" t="str">
        <f t="shared" si="19"/>
        <v/>
      </c>
      <c r="B563" s="14"/>
      <c r="C563" s="28" t="str">
        <f>IF(TRIM($B563)&lt;&gt;"",INDEX(Config!$B$13:$L$76,MATCH($B563,Config!$B$13:$B$76,0),2),"")</f>
        <v/>
      </c>
      <c r="D563" s="74"/>
      <c r="E563" s="14"/>
      <c r="F563" s="14"/>
      <c r="G563" s="14"/>
      <c r="H563" s="14"/>
      <c r="Z563" s="2" t="str">
        <f>IF($B563&lt;&gt;"",INDEX(Config!$B$13:$AZ$76,MATCH($B563,Config!$B$13:$B$76,0),26),"")</f>
        <v/>
      </c>
      <c r="BA563" s="2" t="str">
        <f t="shared" si="20"/>
        <v/>
      </c>
    </row>
    <row r="564" spans="1:53" x14ac:dyDescent="0.15">
      <c r="A564" s="26" t="str">
        <f t="shared" si="19"/>
        <v/>
      </c>
      <c r="B564" s="14"/>
      <c r="C564" s="28" t="str">
        <f>IF(TRIM($B564)&lt;&gt;"",INDEX(Config!$B$13:$L$76,MATCH($B564,Config!$B$13:$B$76,0),2),"")</f>
        <v/>
      </c>
      <c r="D564" s="74"/>
      <c r="E564" s="14"/>
      <c r="F564" s="14"/>
      <c r="G564" s="14"/>
      <c r="H564" s="14"/>
      <c r="Z564" s="2" t="str">
        <f>IF($B564&lt;&gt;"",INDEX(Config!$B$13:$AZ$76,MATCH($B564,Config!$B$13:$B$76,0),26),"")</f>
        <v/>
      </c>
      <c r="BA564" s="2" t="str">
        <f t="shared" si="20"/>
        <v/>
      </c>
    </row>
    <row r="565" spans="1:53" x14ac:dyDescent="0.15">
      <c r="A565" s="26" t="str">
        <f t="shared" si="19"/>
        <v/>
      </c>
      <c r="B565" s="14"/>
      <c r="C565" s="28" t="str">
        <f>IF(TRIM($B565)&lt;&gt;"",INDEX(Config!$B$13:$L$76,MATCH($B565,Config!$B$13:$B$76,0),2),"")</f>
        <v/>
      </c>
      <c r="D565" s="74"/>
      <c r="E565" s="14"/>
      <c r="F565" s="14"/>
      <c r="G565" s="14"/>
      <c r="H565" s="14"/>
      <c r="Z565" s="2" t="str">
        <f>IF($B565&lt;&gt;"",INDEX(Config!$B$13:$AZ$76,MATCH($B565,Config!$B$13:$B$76,0),26),"")</f>
        <v/>
      </c>
      <c r="BA565" s="2" t="str">
        <f t="shared" si="20"/>
        <v/>
      </c>
    </row>
    <row r="566" spans="1:53" x14ac:dyDescent="0.15">
      <c r="A566" s="26" t="str">
        <f t="shared" si="19"/>
        <v/>
      </c>
      <c r="B566" s="14"/>
      <c r="C566" s="28" t="str">
        <f>IF(TRIM($B566)&lt;&gt;"",INDEX(Config!$B$13:$L$76,MATCH($B566,Config!$B$13:$B$76,0),2),"")</f>
        <v/>
      </c>
      <c r="D566" s="74"/>
      <c r="E566" s="14"/>
      <c r="F566" s="14"/>
      <c r="G566" s="14"/>
      <c r="H566" s="14"/>
      <c r="Z566" s="2" t="str">
        <f>IF($B566&lt;&gt;"",INDEX(Config!$B$13:$AZ$76,MATCH($B566,Config!$B$13:$B$76,0),26),"")</f>
        <v/>
      </c>
      <c r="BA566" s="2" t="str">
        <f t="shared" si="20"/>
        <v/>
      </c>
    </row>
    <row r="567" spans="1:53" x14ac:dyDescent="0.15">
      <c r="A567" s="26" t="str">
        <f t="shared" si="19"/>
        <v/>
      </c>
      <c r="B567" s="14"/>
      <c r="C567" s="28" t="str">
        <f>IF(TRIM($B567)&lt;&gt;"",INDEX(Config!$B$13:$L$76,MATCH($B567,Config!$B$13:$B$76,0),2),"")</f>
        <v/>
      </c>
      <c r="D567" s="74"/>
      <c r="E567" s="14"/>
      <c r="F567" s="14"/>
      <c r="G567" s="14"/>
      <c r="H567" s="14"/>
      <c r="Z567" s="2" t="str">
        <f>IF($B567&lt;&gt;"",INDEX(Config!$B$13:$AZ$76,MATCH($B567,Config!$B$13:$B$76,0),26),"")</f>
        <v/>
      </c>
      <c r="BA567" s="2" t="str">
        <f t="shared" si="20"/>
        <v/>
      </c>
    </row>
    <row r="568" spans="1:53" x14ac:dyDescent="0.15">
      <c r="A568" s="26" t="str">
        <f t="shared" si="19"/>
        <v/>
      </c>
      <c r="B568" s="14"/>
      <c r="C568" s="28" t="str">
        <f>IF(TRIM($B568)&lt;&gt;"",INDEX(Config!$B$13:$L$76,MATCH($B568,Config!$B$13:$B$76,0),2),"")</f>
        <v/>
      </c>
      <c r="D568" s="74"/>
      <c r="E568" s="14"/>
      <c r="F568" s="14"/>
      <c r="G568" s="14"/>
      <c r="H568" s="14"/>
      <c r="Z568" s="2" t="str">
        <f>IF($B568&lt;&gt;"",INDEX(Config!$B$13:$AZ$76,MATCH($B568,Config!$B$13:$B$76,0),26),"")</f>
        <v/>
      </c>
      <c r="BA568" s="2" t="str">
        <f t="shared" si="20"/>
        <v/>
      </c>
    </row>
    <row r="569" spans="1:53" x14ac:dyDescent="0.15">
      <c r="A569" s="26" t="str">
        <f t="shared" si="19"/>
        <v/>
      </c>
      <c r="B569" s="14"/>
      <c r="C569" s="28" t="str">
        <f>IF(TRIM($B569)&lt;&gt;"",INDEX(Config!$B$13:$L$76,MATCH($B569,Config!$B$13:$B$76,0),2),"")</f>
        <v/>
      </c>
      <c r="D569" s="74"/>
      <c r="E569" s="14"/>
      <c r="F569" s="14"/>
      <c r="G569" s="14"/>
      <c r="H569" s="14"/>
      <c r="Z569" s="2" t="str">
        <f>IF($B569&lt;&gt;"",INDEX(Config!$B$13:$AZ$76,MATCH($B569,Config!$B$13:$B$76,0),26),"")</f>
        <v/>
      </c>
      <c r="BA569" s="2" t="str">
        <f t="shared" si="20"/>
        <v/>
      </c>
    </row>
    <row r="570" spans="1:53" x14ac:dyDescent="0.15">
      <c r="A570" s="26" t="str">
        <f t="shared" si="19"/>
        <v/>
      </c>
      <c r="B570" s="14"/>
      <c r="C570" s="28" t="str">
        <f>IF(TRIM($B570)&lt;&gt;"",INDEX(Config!$B$13:$L$76,MATCH($B570,Config!$B$13:$B$76,0),2),"")</f>
        <v/>
      </c>
      <c r="D570" s="74"/>
      <c r="E570" s="14"/>
      <c r="F570" s="14"/>
      <c r="G570" s="14"/>
      <c r="H570" s="14"/>
      <c r="Z570" s="2" t="str">
        <f>IF($B570&lt;&gt;"",INDEX(Config!$B$13:$AZ$76,MATCH($B570,Config!$B$13:$B$76,0),26),"")</f>
        <v/>
      </c>
      <c r="BA570" s="2" t="str">
        <f t="shared" si="20"/>
        <v/>
      </c>
    </row>
    <row r="571" spans="1:53" x14ac:dyDescent="0.15">
      <c r="A571" s="26" t="str">
        <f t="shared" si="19"/>
        <v/>
      </c>
      <c r="B571" s="14"/>
      <c r="C571" s="28" t="str">
        <f>IF(TRIM($B571)&lt;&gt;"",INDEX(Config!$B$13:$L$76,MATCH($B571,Config!$B$13:$B$76,0),2),"")</f>
        <v/>
      </c>
      <c r="D571" s="74"/>
      <c r="E571" s="14"/>
      <c r="F571" s="14"/>
      <c r="G571" s="14"/>
      <c r="H571" s="14"/>
      <c r="Z571" s="2" t="str">
        <f>IF($B571&lt;&gt;"",INDEX(Config!$B$13:$AZ$76,MATCH($B571,Config!$B$13:$B$76,0),26),"")</f>
        <v/>
      </c>
      <c r="BA571" s="2" t="str">
        <f t="shared" si="20"/>
        <v/>
      </c>
    </row>
    <row r="572" spans="1:53" x14ac:dyDescent="0.15">
      <c r="A572" s="26" t="str">
        <f t="shared" si="19"/>
        <v/>
      </c>
      <c r="B572" s="14"/>
      <c r="C572" s="28" t="str">
        <f>IF(TRIM($B572)&lt;&gt;"",INDEX(Config!$B$13:$L$76,MATCH($B572,Config!$B$13:$B$76,0),2),"")</f>
        <v/>
      </c>
      <c r="D572" s="74"/>
      <c r="E572" s="14"/>
      <c r="F572" s="14"/>
      <c r="G572" s="14"/>
      <c r="H572" s="14"/>
      <c r="Z572" s="2" t="str">
        <f>IF($B572&lt;&gt;"",INDEX(Config!$B$13:$AZ$76,MATCH($B572,Config!$B$13:$B$76,0),26),"")</f>
        <v/>
      </c>
      <c r="BA572" s="2" t="str">
        <f t="shared" si="20"/>
        <v/>
      </c>
    </row>
    <row r="573" spans="1:53" x14ac:dyDescent="0.15">
      <c r="A573" s="26" t="str">
        <f t="shared" si="19"/>
        <v/>
      </c>
      <c r="B573" s="14"/>
      <c r="C573" s="28" t="str">
        <f>IF(TRIM($B573)&lt;&gt;"",INDEX(Config!$B$13:$L$76,MATCH($B573,Config!$B$13:$B$76,0),2),"")</f>
        <v/>
      </c>
      <c r="D573" s="74"/>
      <c r="E573" s="14"/>
      <c r="F573" s="14"/>
      <c r="G573" s="14"/>
      <c r="H573" s="14"/>
      <c r="Z573" s="2" t="str">
        <f>IF($B573&lt;&gt;"",INDEX(Config!$B$13:$AZ$76,MATCH($B573,Config!$B$13:$B$76,0),26),"")</f>
        <v/>
      </c>
      <c r="BA573" s="2" t="str">
        <f t="shared" si="20"/>
        <v/>
      </c>
    </row>
    <row r="574" spans="1:53" x14ac:dyDescent="0.15">
      <c r="A574" s="26" t="str">
        <f t="shared" si="19"/>
        <v/>
      </c>
      <c r="B574" s="14"/>
      <c r="C574" s="28" t="str">
        <f>IF(TRIM($B574)&lt;&gt;"",INDEX(Config!$B$13:$L$76,MATCH($B574,Config!$B$13:$B$76,0),2),"")</f>
        <v/>
      </c>
      <c r="D574" s="74"/>
      <c r="E574" s="14"/>
      <c r="F574" s="14"/>
      <c r="G574" s="14"/>
      <c r="H574" s="14"/>
      <c r="Z574" s="2" t="str">
        <f>IF($B574&lt;&gt;"",INDEX(Config!$B$13:$AZ$76,MATCH($B574,Config!$B$13:$B$76,0),26),"")</f>
        <v/>
      </c>
      <c r="BA574" s="2" t="str">
        <f t="shared" si="20"/>
        <v/>
      </c>
    </row>
    <row r="575" spans="1:53" x14ac:dyDescent="0.15">
      <c r="A575" s="26" t="str">
        <f t="shared" si="19"/>
        <v/>
      </c>
      <c r="B575" s="14"/>
      <c r="C575" s="28" t="str">
        <f>IF(TRIM($B575)&lt;&gt;"",INDEX(Config!$B$13:$L$76,MATCH($B575,Config!$B$13:$B$76,0),2),"")</f>
        <v/>
      </c>
      <c r="D575" s="74"/>
      <c r="E575" s="14"/>
      <c r="F575" s="14"/>
      <c r="G575" s="14"/>
      <c r="H575" s="14"/>
      <c r="Z575" s="2" t="str">
        <f>IF($B575&lt;&gt;"",INDEX(Config!$B$13:$AZ$76,MATCH($B575,Config!$B$13:$B$76,0),26),"")</f>
        <v/>
      </c>
      <c r="BA575" s="2" t="str">
        <f t="shared" si="20"/>
        <v/>
      </c>
    </row>
    <row r="576" spans="1:53" x14ac:dyDescent="0.15">
      <c r="A576" s="26" t="str">
        <f t="shared" si="19"/>
        <v/>
      </c>
      <c r="B576" s="14"/>
      <c r="C576" s="28" t="str">
        <f>IF(TRIM($B576)&lt;&gt;"",INDEX(Config!$B$13:$L$76,MATCH($B576,Config!$B$13:$B$76,0),2),"")</f>
        <v/>
      </c>
      <c r="D576" s="74"/>
      <c r="E576" s="14"/>
      <c r="F576" s="14"/>
      <c r="G576" s="14"/>
      <c r="H576" s="14"/>
      <c r="Z576" s="2" t="str">
        <f>IF($B576&lt;&gt;"",INDEX(Config!$B$13:$AZ$76,MATCH($B576,Config!$B$13:$B$76,0),26),"")</f>
        <v/>
      </c>
      <c r="BA576" s="2" t="str">
        <f t="shared" si="20"/>
        <v/>
      </c>
    </row>
    <row r="577" spans="1:53" x14ac:dyDescent="0.15">
      <c r="A577" s="26" t="str">
        <f t="shared" si="19"/>
        <v/>
      </c>
      <c r="B577" s="14"/>
      <c r="C577" s="28" t="str">
        <f>IF(TRIM($B577)&lt;&gt;"",INDEX(Config!$B$13:$L$76,MATCH($B577,Config!$B$13:$B$76,0),2),"")</f>
        <v/>
      </c>
      <c r="D577" s="74"/>
      <c r="E577" s="14"/>
      <c r="F577" s="14"/>
      <c r="G577" s="14"/>
      <c r="H577" s="14"/>
      <c r="Z577" s="2" t="str">
        <f>IF($B577&lt;&gt;"",INDEX(Config!$B$13:$AZ$76,MATCH($B577,Config!$B$13:$B$76,0),26),"")</f>
        <v/>
      </c>
      <c r="BA577" s="2" t="str">
        <f t="shared" si="20"/>
        <v/>
      </c>
    </row>
    <row r="578" spans="1:53" x14ac:dyDescent="0.15">
      <c r="A578" s="26" t="str">
        <f t="shared" si="19"/>
        <v/>
      </c>
      <c r="B578" s="14"/>
      <c r="C578" s="28" t="str">
        <f>IF(TRIM($B578)&lt;&gt;"",INDEX(Config!$B$13:$L$76,MATCH($B578,Config!$B$13:$B$76,0),2),"")</f>
        <v/>
      </c>
      <c r="D578" s="74"/>
      <c r="E578" s="14"/>
      <c r="F578" s="14"/>
      <c r="G578" s="14"/>
      <c r="H578" s="14"/>
      <c r="Z578" s="2" t="str">
        <f>IF($B578&lt;&gt;"",INDEX(Config!$B$13:$AZ$76,MATCH($B578,Config!$B$13:$B$76,0),26),"")</f>
        <v/>
      </c>
      <c r="BA578" s="2" t="str">
        <f t="shared" si="20"/>
        <v/>
      </c>
    </row>
    <row r="579" spans="1:53" x14ac:dyDescent="0.15">
      <c r="A579" s="26" t="str">
        <f t="shared" si="19"/>
        <v/>
      </c>
      <c r="B579" s="14"/>
      <c r="C579" s="28" t="str">
        <f>IF(TRIM($B579)&lt;&gt;"",INDEX(Config!$B$13:$L$76,MATCH($B579,Config!$B$13:$B$76,0),2),"")</f>
        <v/>
      </c>
      <c r="D579" s="74"/>
      <c r="E579" s="14"/>
      <c r="F579" s="14"/>
      <c r="G579" s="14"/>
      <c r="H579" s="14"/>
      <c r="Z579" s="2" t="str">
        <f>IF($B579&lt;&gt;"",INDEX(Config!$B$13:$AZ$76,MATCH($B579,Config!$B$13:$B$76,0),26),"")</f>
        <v/>
      </c>
      <c r="BA579" s="2" t="str">
        <f t="shared" si="20"/>
        <v/>
      </c>
    </row>
    <row r="580" spans="1:53" x14ac:dyDescent="0.15">
      <c r="A580" s="26" t="str">
        <f t="shared" si="19"/>
        <v/>
      </c>
      <c r="B580" s="14"/>
      <c r="C580" s="28" t="str">
        <f>IF(TRIM($B580)&lt;&gt;"",INDEX(Config!$B$13:$L$76,MATCH($B580,Config!$B$13:$B$76,0),2),"")</f>
        <v/>
      </c>
      <c r="D580" s="74"/>
      <c r="E580" s="14"/>
      <c r="F580" s="14"/>
      <c r="G580" s="14"/>
      <c r="H580" s="14"/>
      <c r="Z580" s="2" t="str">
        <f>IF($B580&lt;&gt;"",INDEX(Config!$B$13:$AZ$76,MATCH($B580,Config!$B$13:$B$76,0),26),"")</f>
        <v/>
      </c>
      <c r="BA580" s="2" t="str">
        <f t="shared" si="20"/>
        <v/>
      </c>
    </row>
    <row r="581" spans="1:53" x14ac:dyDescent="0.15">
      <c r="A581" s="26" t="str">
        <f t="shared" si="19"/>
        <v/>
      </c>
      <c r="B581" s="14"/>
      <c r="C581" s="28" t="str">
        <f>IF(TRIM($B581)&lt;&gt;"",INDEX(Config!$B$13:$L$76,MATCH($B581,Config!$B$13:$B$76,0),2),"")</f>
        <v/>
      </c>
      <c r="D581" s="74"/>
      <c r="E581" s="14"/>
      <c r="F581" s="14"/>
      <c r="G581" s="14"/>
      <c r="H581" s="14"/>
      <c r="Z581" s="2" t="str">
        <f>IF($B581&lt;&gt;"",INDEX(Config!$B$13:$AZ$76,MATCH($B581,Config!$B$13:$B$76,0),26),"")</f>
        <v/>
      </c>
      <c r="BA581" s="2" t="str">
        <f t="shared" si="20"/>
        <v/>
      </c>
    </row>
    <row r="582" spans="1:53" x14ac:dyDescent="0.15">
      <c r="A582" s="26" t="str">
        <f t="shared" si="19"/>
        <v/>
      </c>
      <c r="B582" s="14"/>
      <c r="C582" s="28" t="str">
        <f>IF(TRIM($B582)&lt;&gt;"",INDEX(Config!$B$13:$L$76,MATCH($B582,Config!$B$13:$B$76,0),2),"")</f>
        <v/>
      </c>
      <c r="D582" s="74"/>
      <c r="E582" s="14"/>
      <c r="F582" s="14"/>
      <c r="G582" s="14"/>
      <c r="H582" s="14"/>
      <c r="Z582" s="2" t="str">
        <f>IF($B582&lt;&gt;"",INDEX(Config!$B$13:$AZ$76,MATCH($B582,Config!$B$13:$B$76,0),26),"")</f>
        <v/>
      </c>
      <c r="BA582" s="2" t="str">
        <f t="shared" si="20"/>
        <v/>
      </c>
    </row>
    <row r="583" spans="1:53" x14ac:dyDescent="0.15">
      <c r="A583" s="26" t="str">
        <f t="shared" si="19"/>
        <v/>
      </c>
      <c r="B583" s="14"/>
      <c r="C583" s="28" t="str">
        <f>IF(TRIM($B583)&lt;&gt;"",INDEX(Config!$B$13:$L$76,MATCH($B583,Config!$B$13:$B$76,0),2),"")</f>
        <v/>
      </c>
      <c r="D583" s="74"/>
      <c r="E583" s="14"/>
      <c r="F583" s="14"/>
      <c r="G583" s="14"/>
      <c r="H583" s="14"/>
      <c r="Z583" s="2" t="str">
        <f>IF($B583&lt;&gt;"",INDEX(Config!$B$13:$AZ$76,MATCH($B583,Config!$B$13:$B$76,0),26),"")</f>
        <v/>
      </c>
      <c r="BA583" s="2" t="str">
        <f t="shared" si="20"/>
        <v/>
      </c>
    </row>
    <row r="584" spans="1:53" x14ac:dyDescent="0.15">
      <c r="A584" s="26" t="str">
        <f t="shared" ref="A584:A647" si="21">IF(B584&lt;&gt;"","#"&amp;ROW()-1,"")</f>
        <v/>
      </c>
      <c r="B584" s="14"/>
      <c r="C584" s="28" t="str">
        <f>IF(TRIM($B584)&lt;&gt;"",INDEX(Config!$B$13:$L$76,MATCH($B584,Config!$B$13:$B$76,0),2),"")</f>
        <v/>
      </c>
      <c r="D584" s="74"/>
      <c r="E584" s="14"/>
      <c r="F584" s="14"/>
      <c r="G584" s="14"/>
      <c r="H584" s="14"/>
      <c r="Z584" s="2" t="str">
        <f>IF($B584&lt;&gt;"",INDEX(Config!$B$13:$AZ$76,MATCH($B584,Config!$B$13:$B$76,0),26),"")</f>
        <v/>
      </c>
      <c r="BA584" s="2" t="str">
        <f t="shared" ref="BA584:BA647" si="22">IF($B584&lt;&gt;"",ROW()-1,"")</f>
        <v/>
      </c>
    </row>
    <row r="585" spans="1:53" x14ac:dyDescent="0.15">
      <c r="A585" s="26" t="str">
        <f t="shared" si="21"/>
        <v/>
      </c>
      <c r="B585" s="14"/>
      <c r="C585" s="28" t="str">
        <f>IF(TRIM($B585)&lt;&gt;"",INDEX(Config!$B$13:$L$76,MATCH($B585,Config!$B$13:$B$76,0),2),"")</f>
        <v/>
      </c>
      <c r="D585" s="74"/>
      <c r="E585" s="14"/>
      <c r="F585" s="14"/>
      <c r="G585" s="14"/>
      <c r="H585" s="14"/>
      <c r="Z585" s="2" t="str">
        <f>IF($B585&lt;&gt;"",INDEX(Config!$B$13:$AZ$76,MATCH($B585,Config!$B$13:$B$76,0),26),"")</f>
        <v/>
      </c>
      <c r="BA585" s="2" t="str">
        <f t="shared" si="22"/>
        <v/>
      </c>
    </row>
    <row r="586" spans="1:53" x14ac:dyDescent="0.15">
      <c r="A586" s="26" t="str">
        <f t="shared" si="21"/>
        <v/>
      </c>
      <c r="B586" s="14"/>
      <c r="C586" s="28" t="str">
        <f>IF(TRIM($B586)&lt;&gt;"",INDEX(Config!$B$13:$L$76,MATCH($B586,Config!$B$13:$B$76,0),2),"")</f>
        <v/>
      </c>
      <c r="D586" s="74"/>
      <c r="E586" s="14"/>
      <c r="F586" s="14"/>
      <c r="G586" s="14"/>
      <c r="H586" s="14"/>
      <c r="Z586" s="2" t="str">
        <f>IF($B586&lt;&gt;"",INDEX(Config!$B$13:$AZ$76,MATCH($B586,Config!$B$13:$B$76,0),26),"")</f>
        <v/>
      </c>
      <c r="BA586" s="2" t="str">
        <f t="shared" si="22"/>
        <v/>
      </c>
    </row>
    <row r="587" spans="1:53" x14ac:dyDescent="0.15">
      <c r="A587" s="26" t="str">
        <f t="shared" si="21"/>
        <v/>
      </c>
      <c r="B587" s="14"/>
      <c r="C587" s="28" t="str">
        <f>IF(TRIM($B587)&lt;&gt;"",INDEX(Config!$B$13:$L$76,MATCH($B587,Config!$B$13:$B$76,0),2),"")</f>
        <v/>
      </c>
      <c r="D587" s="74"/>
      <c r="E587" s="14"/>
      <c r="F587" s="14"/>
      <c r="G587" s="14"/>
      <c r="H587" s="14"/>
      <c r="Z587" s="2" t="str">
        <f>IF($B587&lt;&gt;"",INDEX(Config!$B$13:$AZ$76,MATCH($B587,Config!$B$13:$B$76,0),26),"")</f>
        <v/>
      </c>
      <c r="BA587" s="2" t="str">
        <f t="shared" si="22"/>
        <v/>
      </c>
    </row>
    <row r="588" spans="1:53" x14ac:dyDescent="0.15">
      <c r="A588" s="26" t="str">
        <f t="shared" si="21"/>
        <v/>
      </c>
      <c r="B588" s="14"/>
      <c r="C588" s="28" t="str">
        <f>IF(TRIM($B588)&lt;&gt;"",INDEX(Config!$B$13:$L$76,MATCH($B588,Config!$B$13:$B$76,0),2),"")</f>
        <v/>
      </c>
      <c r="D588" s="74"/>
      <c r="E588" s="14"/>
      <c r="F588" s="14"/>
      <c r="G588" s="14"/>
      <c r="H588" s="14"/>
      <c r="Z588" s="2" t="str">
        <f>IF($B588&lt;&gt;"",INDEX(Config!$B$13:$AZ$76,MATCH($B588,Config!$B$13:$B$76,0),26),"")</f>
        <v/>
      </c>
      <c r="BA588" s="2" t="str">
        <f t="shared" si="22"/>
        <v/>
      </c>
    </row>
    <row r="589" spans="1:53" x14ac:dyDescent="0.15">
      <c r="A589" s="26" t="str">
        <f t="shared" si="21"/>
        <v/>
      </c>
      <c r="B589" s="14"/>
      <c r="C589" s="28" t="str">
        <f>IF(TRIM($B589)&lt;&gt;"",INDEX(Config!$B$13:$L$76,MATCH($B589,Config!$B$13:$B$76,0),2),"")</f>
        <v/>
      </c>
      <c r="D589" s="74"/>
      <c r="E589" s="14"/>
      <c r="F589" s="14"/>
      <c r="G589" s="14"/>
      <c r="H589" s="14"/>
      <c r="Z589" s="2" t="str">
        <f>IF($B589&lt;&gt;"",INDEX(Config!$B$13:$AZ$76,MATCH($B589,Config!$B$13:$B$76,0),26),"")</f>
        <v/>
      </c>
      <c r="BA589" s="2" t="str">
        <f t="shared" si="22"/>
        <v/>
      </c>
    </row>
    <row r="590" spans="1:53" x14ac:dyDescent="0.15">
      <c r="A590" s="26" t="str">
        <f t="shared" si="21"/>
        <v/>
      </c>
      <c r="B590" s="14"/>
      <c r="C590" s="28" t="str">
        <f>IF(TRIM($B590)&lt;&gt;"",INDEX(Config!$B$13:$L$76,MATCH($B590,Config!$B$13:$B$76,0),2),"")</f>
        <v/>
      </c>
      <c r="D590" s="74"/>
      <c r="E590" s="14"/>
      <c r="F590" s="14"/>
      <c r="G590" s="14"/>
      <c r="H590" s="14"/>
      <c r="Z590" s="2" t="str">
        <f>IF($B590&lt;&gt;"",INDEX(Config!$B$13:$AZ$76,MATCH($B590,Config!$B$13:$B$76,0),26),"")</f>
        <v/>
      </c>
      <c r="BA590" s="2" t="str">
        <f t="shared" si="22"/>
        <v/>
      </c>
    </row>
    <row r="591" spans="1:53" x14ac:dyDescent="0.15">
      <c r="A591" s="26" t="str">
        <f t="shared" si="21"/>
        <v/>
      </c>
      <c r="B591" s="14"/>
      <c r="C591" s="28" t="str">
        <f>IF(TRIM($B591)&lt;&gt;"",INDEX(Config!$B$13:$L$76,MATCH($B591,Config!$B$13:$B$76,0),2),"")</f>
        <v/>
      </c>
      <c r="D591" s="74"/>
      <c r="E591" s="14"/>
      <c r="F591" s="14"/>
      <c r="G591" s="14"/>
      <c r="H591" s="14"/>
      <c r="Z591" s="2" t="str">
        <f>IF($B591&lt;&gt;"",INDEX(Config!$B$13:$AZ$76,MATCH($B591,Config!$B$13:$B$76,0),26),"")</f>
        <v/>
      </c>
      <c r="BA591" s="2" t="str">
        <f t="shared" si="22"/>
        <v/>
      </c>
    </row>
    <row r="592" spans="1:53" x14ac:dyDescent="0.15">
      <c r="A592" s="26" t="str">
        <f t="shared" si="21"/>
        <v/>
      </c>
      <c r="B592" s="14"/>
      <c r="C592" s="28" t="str">
        <f>IF(TRIM($B592)&lt;&gt;"",INDEX(Config!$B$13:$L$76,MATCH($B592,Config!$B$13:$B$76,0),2),"")</f>
        <v/>
      </c>
      <c r="D592" s="74"/>
      <c r="E592" s="14"/>
      <c r="F592" s="14"/>
      <c r="G592" s="14"/>
      <c r="H592" s="14"/>
      <c r="Z592" s="2" t="str">
        <f>IF($B592&lt;&gt;"",INDEX(Config!$B$13:$AZ$76,MATCH($B592,Config!$B$13:$B$76,0),26),"")</f>
        <v/>
      </c>
      <c r="BA592" s="2" t="str">
        <f t="shared" si="22"/>
        <v/>
      </c>
    </row>
    <row r="593" spans="1:53" x14ac:dyDescent="0.15">
      <c r="A593" s="26" t="str">
        <f t="shared" si="21"/>
        <v/>
      </c>
      <c r="B593" s="14"/>
      <c r="C593" s="28" t="str">
        <f>IF(TRIM($B593)&lt;&gt;"",INDEX(Config!$B$13:$L$76,MATCH($B593,Config!$B$13:$B$76,0),2),"")</f>
        <v/>
      </c>
      <c r="D593" s="74"/>
      <c r="E593" s="14"/>
      <c r="F593" s="14"/>
      <c r="G593" s="14"/>
      <c r="H593" s="14"/>
      <c r="Z593" s="2" t="str">
        <f>IF($B593&lt;&gt;"",INDEX(Config!$B$13:$AZ$76,MATCH($B593,Config!$B$13:$B$76,0),26),"")</f>
        <v/>
      </c>
      <c r="BA593" s="2" t="str">
        <f t="shared" si="22"/>
        <v/>
      </c>
    </row>
    <row r="594" spans="1:53" x14ac:dyDescent="0.15">
      <c r="A594" s="26" t="str">
        <f t="shared" si="21"/>
        <v/>
      </c>
      <c r="B594" s="14"/>
      <c r="C594" s="28" t="str">
        <f>IF(TRIM($B594)&lt;&gt;"",INDEX(Config!$B$13:$L$76,MATCH($B594,Config!$B$13:$B$76,0),2),"")</f>
        <v/>
      </c>
      <c r="D594" s="74"/>
      <c r="E594" s="14"/>
      <c r="F594" s="14"/>
      <c r="G594" s="14"/>
      <c r="H594" s="14"/>
      <c r="Z594" s="2" t="str">
        <f>IF($B594&lt;&gt;"",INDEX(Config!$B$13:$AZ$76,MATCH($B594,Config!$B$13:$B$76,0),26),"")</f>
        <v/>
      </c>
      <c r="BA594" s="2" t="str">
        <f t="shared" si="22"/>
        <v/>
      </c>
    </row>
    <row r="595" spans="1:53" x14ac:dyDescent="0.15">
      <c r="A595" s="26" t="str">
        <f t="shared" si="21"/>
        <v/>
      </c>
      <c r="B595" s="14"/>
      <c r="C595" s="28" t="str">
        <f>IF(TRIM($B595)&lt;&gt;"",INDEX(Config!$B$13:$L$76,MATCH($B595,Config!$B$13:$B$76,0),2),"")</f>
        <v/>
      </c>
      <c r="D595" s="74"/>
      <c r="E595" s="14"/>
      <c r="F595" s="14"/>
      <c r="G595" s="14"/>
      <c r="H595" s="14"/>
      <c r="Z595" s="2" t="str">
        <f>IF($B595&lt;&gt;"",INDEX(Config!$B$13:$AZ$76,MATCH($B595,Config!$B$13:$B$76,0),26),"")</f>
        <v/>
      </c>
      <c r="BA595" s="2" t="str">
        <f t="shared" si="22"/>
        <v/>
      </c>
    </row>
    <row r="596" spans="1:53" x14ac:dyDescent="0.15">
      <c r="A596" s="26" t="str">
        <f t="shared" si="21"/>
        <v/>
      </c>
      <c r="B596" s="14"/>
      <c r="C596" s="28" t="str">
        <f>IF(TRIM($B596)&lt;&gt;"",INDEX(Config!$B$13:$L$76,MATCH($B596,Config!$B$13:$B$76,0),2),"")</f>
        <v/>
      </c>
      <c r="D596" s="74"/>
      <c r="E596" s="14"/>
      <c r="F596" s="14"/>
      <c r="G596" s="14"/>
      <c r="H596" s="14"/>
      <c r="Z596" s="2" t="str">
        <f>IF($B596&lt;&gt;"",INDEX(Config!$B$13:$AZ$76,MATCH($B596,Config!$B$13:$B$76,0),26),"")</f>
        <v/>
      </c>
      <c r="BA596" s="2" t="str">
        <f t="shared" si="22"/>
        <v/>
      </c>
    </row>
    <row r="597" spans="1:53" x14ac:dyDescent="0.15">
      <c r="A597" s="26" t="str">
        <f t="shared" si="21"/>
        <v/>
      </c>
      <c r="B597" s="14"/>
      <c r="C597" s="28" t="str">
        <f>IF(TRIM($B597)&lt;&gt;"",INDEX(Config!$B$13:$L$76,MATCH($B597,Config!$B$13:$B$76,0),2),"")</f>
        <v/>
      </c>
      <c r="D597" s="74"/>
      <c r="E597" s="14"/>
      <c r="F597" s="14"/>
      <c r="G597" s="14"/>
      <c r="H597" s="14"/>
      <c r="Z597" s="2" t="str">
        <f>IF($B597&lt;&gt;"",INDEX(Config!$B$13:$AZ$76,MATCH($B597,Config!$B$13:$B$76,0),26),"")</f>
        <v/>
      </c>
      <c r="BA597" s="2" t="str">
        <f t="shared" si="22"/>
        <v/>
      </c>
    </row>
    <row r="598" spans="1:53" x14ac:dyDescent="0.15">
      <c r="A598" s="26" t="str">
        <f t="shared" si="21"/>
        <v/>
      </c>
      <c r="B598" s="14"/>
      <c r="C598" s="28" t="str">
        <f>IF(TRIM($B598)&lt;&gt;"",INDEX(Config!$B$13:$L$76,MATCH($B598,Config!$B$13:$B$76,0),2),"")</f>
        <v/>
      </c>
      <c r="D598" s="74"/>
      <c r="E598" s="14"/>
      <c r="F598" s="14"/>
      <c r="G598" s="14"/>
      <c r="H598" s="14"/>
      <c r="Z598" s="2" t="str">
        <f>IF($B598&lt;&gt;"",INDEX(Config!$B$13:$AZ$76,MATCH($B598,Config!$B$13:$B$76,0),26),"")</f>
        <v/>
      </c>
      <c r="BA598" s="2" t="str">
        <f t="shared" si="22"/>
        <v/>
      </c>
    </row>
    <row r="599" spans="1:53" x14ac:dyDescent="0.15">
      <c r="A599" s="26" t="str">
        <f t="shared" si="21"/>
        <v/>
      </c>
      <c r="B599" s="14"/>
      <c r="C599" s="28" t="str">
        <f>IF(TRIM($B599)&lt;&gt;"",INDEX(Config!$B$13:$L$76,MATCH($B599,Config!$B$13:$B$76,0),2),"")</f>
        <v/>
      </c>
      <c r="D599" s="74"/>
      <c r="E599" s="14"/>
      <c r="F599" s="14"/>
      <c r="G599" s="14"/>
      <c r="H599" s="14"/>
      <c r="Z599" s="2" t="str">
        <f>IF($B599&lt;&gt;"",INDEX(Config!$B$13:$AZ$76,MATCH($B599,Config!$B$13:$B$76,0),26),"")</f>
        <v/>
      </c>
      <c r="BA599" s="2" t="str">
        <f t="shared" si="22"/>
        <v/>
      </c>
    </row>
    <row r="600" spans="1:53" x14ac:dyDescent="0.15">
      <c r="A600" s="26" t="str">
        <f t="shared" si="21"/>
        <v/>
      </c>
      <c r="B600" s="14"/>
      <c r="C600" s="28" t="str">
        <f>IF(TRIM($B600)&lt;&gt;"",INDEX(Config!$B$13:$L$76,MATCH($B600,Config!$B$13:$B$76,0),2),"")</f>
        <v/>
      </c>
      <c r="D600" s="74"/>
      <c r="E600" s="14"/>
      <c r="F600" s="14"/>
      <c r="G600" s="14"/>
      <c r="H600" s="14"/>
      <c r="Z600" s="2" t="str">
        <f>IF($B600&lt;&gt;"",INDEX(Config!$B$13:$AZ$76,MATCH($B600,Config!$B$13:$B$76,0),26),"")</f>
        <v/>
      </c>
      <c r="BA600" s="2" t="str">
        <f t="shared" si="22"/>
        <v/>
      </c>
    </row>
    <row r="601" spans="1:53" x14ac:dyDescent="0.15">
      <c r="A601" s="26" t="str">
        <f t="shared" si="21"/>
        <v/>
      </c>
      <c r="B601" s="14"/>
      <c r="C601" s="28" t="str">
        <f>IF(TRIM($B601)&lt;&gt;"",INDEX(Config!$B$13:$L$76,MATCH($B601,Config!$B$13:$B$76,0),2),"")</f>
        <v/>
      </c>
      <c r="D601" s="74"/>
      <c r="E601" s="14"/>
      <c r="F601" s="14"/>
      <c r="G601" s="14"/>
      <c r="H601" s="14"/>
      <c r="Z601" s="2" t="str">
        <f>IF($B601&lt;&gt;"",INDEX(Config!$B$13:$AZ$76,MATCH($B601,Config!$B$13:$B$76,0),26),"")</f>
        <v/>
      </c>
      <c r="BA601" s="2" t="str">
        <f t="shared" si="22"/>
        <v/>
      </c>
    </row>
    <row r="602" spans="1:53" x14ac:dyDescent="0.15">
      <c r="A602" s="26" t="str">
        <f t="shared" si="21"/>
        <v/>
      </c>
      <c r="B602" s="14"/>
      <c r="C602" s="28" t="str">
        <f>IF(TRIM($B602)&lt;&gt;"",INDEX(Config!$B$13:$L$76,MATCH($B602,Config!$B$13:$B$76,0),2),"")</f>
        <v/>
      </c>
      <c r="D602" s="74"/>
      <c r="E602" s="14"/>
      <c r="F602" s="14"/>
      <c r="G602" s="14"/>
      <c r="H602" s="14"/>
      <c r="Z602" s="2" t="str">
        <f>IF($B602&lt;&gt;"",INDEX(Config!$B$13:$AZ$76,MATCH($B602,Config!$B$13:$B$76,0),26),"")</f>
        <v/>
      </c>
      <c r="BA602" s="2" t="str">
        <f t="shared" si="22"/>
        <v/>
      </c>
    </row>
    <row r="603" spans="1:53" x14ac:dyDescent="0.15">
      <c r="A603" s="26" t="str">
        <f t="shared" si="21"/>
        <v/>
      </c>
      <c r="B603" s="14"/>
      <c r="C603" s="28" t="str">
        <f>IF(TRIM($B603)&lt;&gt;"",INDEX(Config!$B$13:$L$76,MATCH($B603,Config!$B$13:$B$76,0),2),"")</f>
        <v/>
      </c>
      <c r="D603" s="74"/>
      <c r="E603" s="14"/>
      <c r="F603" s="14"/>
      <c r="G603" s="14"/>
      <c r="H603" s="14"/>
      <c r="Z603" s="2" t="str">
        <f>IF($B603&lt;&gt;"",INDEX(Config!$B$13:$AZ$76,MATCH($B603,Config!$B$13:$B$76,0),26),"")</f>
        <v/>
      </c>
      <c r="BA603" s="2" t="str">
        <f t="shared" si="22"/>
        <v/>
      </c>
    </row>
    <row r="604" spans="1:53" x14ac:dyDescent="0.15">
      <c r="A604" s="26" t="str">
        <f t="shared" si="21"/>
        <v/>
      </c>
      <c r="B604" s="14"/>
      <c r="C604" s="28" t="str">
        <f>IF(TRIM($B604)&lt;&gt;"",INDEX(Config!$B$13:$L$76,MATCH($B604,Config!$B$13:$B$76,0),2),"")</f>
        <v/>
      </c>
      <c r="D604" s="74"/>
      <c r="E604" s="14"/>
      <c r="F604" s="14"/>
      <c r="G604" s="14"/>
      <c r="H604" s="14"/>
      <c r="Z604" s="2" t="str">
        <f>IF($B604&lt;&gt;"",INDEX(Config!$B$13:$AZ$76,MATCH($B604,Config!$B$13:$B$76,0),26),"")</f>
        <v/>
      </c>
      <c r="BA604" s="2" t="str">
        <f t="shared" si="22"/>
        <v/>
      </c>
    </row>
    <row r="605" spans="1:53" x14ac:dyDescent="0.15">
      <c r="A605" s="26" t="str">
        <f t="shared" si="21"/>
        <v/>
      </c>
      <c r="B605" s="14"/>
      <c r="C605" s="28" t="str">
        <f>IF(TRIM($B605)&lt;&gt;"",INDEX(Config!$B$13:$L$76,MATCH($B605,Config!$B$13:$B$76,0),2),"")</f>
        <v/>
      </c>
      <c r="D605" s="74"/>
      <c r="E605" s="14"/>
      <c r="F605" s="14"/>
      <c r="G605" s="14"/>
      <c r="H605" s="14"/>
      <c r="Z605" s="2" t="str">
        <f>IF($B605&lt;&gt;"",INDEX(Config!$B$13:$AZ$76,MATCH($B605,Config!$B$13:$B$76,0),26),"")</f>
        <v/>
      </c>
      <c r="BA605" s="2" t="str">
        <f t="shared" si="22"/>
        <v/>
      </c>
    </row>
    <row r="606" spans="1:53" x14ac:dyDescent="0.15">
      <c r="A606" s="26" t="str">
        <f t="shared" si="21"/>
        <v/>
      </c>
      <c r="B606" s="14"/>
      <c r="C606" s="28" t="str">
        <f>IF(TRIM($B606)&lt;&gt;"",INDEX(Config!$B$13:$L$76,MATCH($B606,Config!$B$13:$B$76,0),2),"")</f>
        <v/>
      </c>
      <c r="D606" s="74"/>
      <c r="E606" s="14"/>
      <c r="F606" s="14"/>
      <c r="G606" s="14"/>
      <c r="H606" s="14"/>
      <c r="Z606" s="2" t="str">
        <f>IF($B606&lt;&gt;"",INDEX(Config!$B$13:$AZ$76,MATCH($B606,Config!$B$13:$B$76,0),26),"")</f>
        <v/>
      </c>
      <c r="BA606" s="2" t="str">
        <f t="shared" si="22"/>
        <v/>
      </c>
    </row>
    <row r="607" spans="1:53" x14ac:dyDescent="0.15">
      <c r="A607" s="26" t="str">
        <f t="shared" si="21"/>
        <v/>
      </c>
      <c r="B607" s="14"/>
      <c r="C607" s="28" t="str">
        <f>IF(TRIM($B607)&lt;&gt;"",INDEX(Config!$B$13:$L$76,MATCH($B607,Config!$B$13:$B$76,0),2),"")</f>
        <v/>
      </c>
      <c r="D607" s="74"/>
      <c r="E607" s="14"/>
      <c r="F607" s="14"/>
      <c r="G607" s="14"/>
      <c r="H607" s="14"/>
      <c r="Z607" s="2" t="str">
        <f>IF($B607&lt;&gt;"",INDEX(Config!$B$13:$AZ$76,MATCH($B607,Config!$B$13:$B$76,0),26),"")</f>
        <v/>
      </c>
      <c r="BA607" s="2" t="str">
        <f t="shared" si="22"/>
        <v/>
      </c>
    </row>
    <row r="608" spans="1:53" x14ac:dyDescent="0.15">
      <c r="A608" s="26" t="str">
        <f t="shared" si="21"/>
        <v/>
      </c>
      <c r="B608" s="14"/>
      <c r="C608" s="28" t="str">
        <f>IF(TRIM($B608)&lt;&gt;"",INDEX(Config!$B$13:$L$76,MATCH($B608,Config!$B$13:$B$76,0),2),"")</f>
        <v/>
      </c>
      <c r="D608" s="74"/>
      <c r="E608" s="14"/>
      <c r="F608" s="14"/>
      <c r="G608" s="14"/>
      <c r="H608" s="14"/>
      <c r="Z608" s="2" t="str">
        <f>IF($B608&lt;&gt;"",INDEX(Config!$B$13:$AZ$76,MATCH($B608,Config!$B$13:$B$76,0),26),"")</f>
        <v/>
      </c>
      <c r="BA608" s="2" t="str">
        <f t="shared" si="22"/>
        <v/>
      </c>
    </row>
    <row r="609" spans="1:53" x14ac:dyDescent="0.15">
      <c r="A609" s="26" t="str">
        <f t="shared" si="21"/>
        <v/>
      </c>
      <c r="B609" s="14"/>
      <c r="C609" s="28" t="str">
        <f>IF(TRIM($B609)&lt;&gt;"",INDEX(Config!$B$13:$L$76,MATCH($B609,Config!$B$13:$B$76,0),2),"")</f>
        <v/>
      </c>
      <c r="D609" s="74"/>
      <c r="E609" s="14"/>
      <c r="F609" s="14"/>
      <c r="G609" s="14"/>
      <c r="H609" s="14"/>
      <c r="Z609" s="2" t="str">
        <f>IF($B609&lt;&gt;"",INDEX(Config!$B$13:$AZ$76,MATCH($B609,Config!$B$13:$B$76,0),26),"")</f>
        <v/>
      </c>
      <c r="BA609" s="2" t="str">
        <f t="shared" si="22"/>
        <v/>
      </c>
    </row>
    <row r="610" spans="1:53" x14ac:dyDescent="0.15">
      <c r="A610" s="26" t="str">
        <f t="shared" si="21"/>
        <v/>
      </c>
      <c r="B610" s="14"/>
      <c r="C610" s="28" t="str">
        <f>IF(TRIM($B610)&lt;&gt;"",INDEX(Config!$B$13:$L$76,MATCH($B610,Config!$B$13:$B$76,0),2),"")</f>
        <v/>
      </c>
      <c r="D610" s="74"/>
      <c r="E610" s="14"/>
      <c r="F610" s="14"/>
      <c r="G610" s="14"/>
      <c r="H610" s="14"/>
      <c r="Z610" s="2" t="str">
        <f>IF($B610&lt;&gt;"",INDEX(Config!$B$13:$AZ$76,MATCH($B610,Config!$B$13:$B$76,0),26),"")</f>
        <v/>
      </c>
      <c r="BA610" s="2" t="str">
        <f t="shared" si="22"/>
        <v/>
      </c>
    </row>
    <row r="611" spans="1:53" x14ac:dyDescent="0.15">
      <c r="A611" s="26" t="str">
        <f t="shared" si="21"/>
        <v/>
      </c>
      <c r="B611" s="14"/>
      <c r="C611" s="28" t="str">
        <f>IF(TRIM($B611)&lt;&gt;"",INDEX(Config!$B$13:$L$76,MATCH($B611,Config!$B$13:$B$76,0),2),"")</f>
        <v/>
      </c>
      <c r="D611" s="74"/>
      <c r="E611" s="14"/>
      <c r="F611" s="14"/>
      <c r="G611" s="14"/>
      <c r="H611" s="14"/>
      <c r="Z611" s="2" t="str">
        <f>IF($B611&lt;&gt;"",INDEX(Config!$B$13:$AZ$76,MATCH($B611,Config!$B$13:$B$76,0),26),"")</f>
        <v/>
      </c>
      <c r="BA611" s="2" t="str">
        <f t="shared" si="22"/>
        <v/>
      </c>
    </row>
    <row r="612" spans="1:53" x14ac:dyDescent="0.15">
      <c r="A612" s="26" t="str">
        <f t="shared" si="21"/>
        <v/>
      </c>
      <c r="B612" s="14"/>
      <c r="C612" s="28" t="str">
        <f>IF(TRIM($B612)&lt;&gt;"",INDEX(Config!$B$13:$L$76,MATCH($B612,Config!$B$13:$B$76,0),2),"")</f>
        <v/>
      </c>
      <c r="D612" s="74"/>
      <c r="E612" s="14"/>
      <c r="F612" s="14"/>
      <c r="G612" s="14"/>
      <c r="H612" s="14"/>
      <c r="Z612" s="2" t="str">
        <f>IF($B612&lt;&gt;"",INDEX(Config!$B$13:$AZ$76,MATCH($B612,Config!$B$13:$B$76,0),26),"")</f>
        <v/>
      </c>
      <c r="BA612" s="2" t="str">
        <f t="shared" si="22"/>
        <v/>
      </c>
    </row>
    <row r="613" spans="1:53" x14ac:dyDescent="0.15">
      <c r="A613" s="26" t="str">
        <f t="shared" si="21"/>
        <v/>
      </c>
      <c r="B613" s="14"/>
      <c r="C613" s="28" t="str">
        <f>IF(TRIM($B613)&lt;&gt;"",INDEX(Config!$B$13:$L$76,MATCH($B613,Config!$B$13:$B$76,0),2),"")</f>
        <v/>
      </c>
      <c r="D613" s="74"/>
      <c r="E613" s="14"/>
      <c r="F613" s="14"/>
      <c r="G613" s="14"/>
      <c r="H613" s="14"/>
      <c r="Z613" s="2" t="str">
        <f>IF($B613&lt;&gt;"",INDEX(Config!$B$13:$AZ$76,MATCH($B613,Config!$B$13:$B$76,0),26),"")</f>
        <v/>
      </c>
      <c r="BA613" s="2" t="str">
        <f t="shared" si="22"/>
        <v/>
      </c>
    </row>
    <row r="614" spans="1:53" x14ac:dyDescent="0.15">
      <c r="A614" s="26" t="str">
        <f t="shared" si="21"/>
        <v/>
      </c>
      <c r="B614" s="14"/>
      <c r="C614" s="28" t="str">
        <f>IF(TRIM($B614)&lt;&gt;"",INDEX(Config!$B$13:$L$76,MATCH($B614,Config!$B$13:$B$76,0),2),"")</f>
        <v/>
      </c>
      <c r="D614" s="74"/>
      <c r="E614" s="14"/>
      <c r="F614" s="14"/>
      <c r="G614" s="14"/>
      <c r="H614" s="14"/>
      <c r="Z614" s="2" t="str">
        <f>IF($B614&lt;&gt;"",INDEX(Config!$B$13:$AZ$76,MATCH($B614,Config!$B$13:$B$76,0),26),"")</f>
        <v/>
      </c>
      <c r="BA614" s="2" t="str">
        <f t="shared" si="22"/>
        <v/>
      </c>
    </row>
    <row r="615" spans="1:53" x14ac:dyDescent="0.15">
      <c r="A615" s="26" t="str">
        <f t="shared" si="21"/>
        <v/>
      </c>
      <c r="B615" s="14"/>
      <c r="C615" s="28" t="str">
        <f>IF(TRIM($B615)&lt;&gt;"",INDEX(Config!$B$13:$L$76,MATCH($B615,Config!$B$13:$B$76,0),2),"")</f>
        <v/>
      </c>
      <c r="D615" s="74"/>
      <c r="E615" s="14"/>
      <c r="F615" s="14"/>
      <c r="G615" s="14"/>
      <c r="H615" s="14"/>
      <c r="Z615" s="2" t="str">
        <f>IF($B615&lt;&gt;"",INDEX(Config!$B$13:$AZ$76,MATCH($B615,Config!$B$13:$B$76,0),26),"")</f>
        <v/>
      </c>
      <c r="BA615" s="2" t="str">
        <f t="shared" si="22"/>
        <v/>
      </c>
    </row>
    <row r="616" spans="1:53" x14ac:dyDescent="0.15">
      <c r="A616" s="26" t="str">
        <f t="shared" si="21"/>
        <v/>
      </c>
      <c r="B616" s="14"/>
      <c r="C616" s="28" t="str">
        <f>IF(TRIM($B616)&lt;&gt;"",INDEX(Config!$B$13:$L$76,MATCH($B616,Config!$B$13:$B$76,0),2),"")</f>
        <v/>
      </c>
      <c r="D616" s="74"/>
      <c r="E616" s="14"/>
      <c r="F616" s="14"/>
      <c r="G616" s="14"/>
      <c r="H616" s="14"/>
      <c r="Z616" s="2" t="str">
        <f>IF($B616&lt;&gt;"",INDEX(Config!$B$13:$AZ$76,MATCH($B616,Config!$B$13:$B$76,0),26),"")</f>
        <v/>
      </c>
      <c r="BA616" s="2" t="str">
        <f t="shared" si="22"/>
        <v/>
      </c>
    </row>
    <row r="617" spans="1:53" x14ac:dyDescent="0.15">
      <c r="A617" s="26" t="str">
        <f t="shared" si="21"/>
        <v/>
      </c>
      <c r="B617" s="14"/>
      <c r="C617" s="28" t="str">
        <f>IF(TRIM($B617)&lt;&gt;"",INDEX(Config!$B$13:$L$76,MATCH($B617,Config!$B$13:$B$76,0),2),"")</f>
        <v/>
      </c>
      <c r="D617" s="74"/>
      <c r="E617" s="14"/>
      <c r="F617" s="14"/>
      <c r="G617" s="14"/>
      <c r="H617" s="14"/>
      <c r="Z617" s="2" t="str">
        <f>IF($B617&lt;&gt;"",INDEX(Config!$B$13:$AZ$76,MATCH($B617,Config!$B$13:$B$76,0),26),"")</f>
        <v/>
      </c>
      <c r="BA617" s="2" t="str">
        <f t="shared" si="22"/>
        <v/>
      </c>
    </row>
    <row r="618" spans="1:53" x14ac:dyDescent="0.15">
      <c r="A618" s="26" t="str">
        <f t="shared" si="21"/>
        <v/>
      </c>
      <c r="B618" s="14"/>
      <c r="C618" s="28" t="str">
        <f>IF(TRIM($B618)&lt;&gt;"",INDEX(Config!$B$13:$L$76,MATCH($B618,Config!$B$13:$B$76,0),2),"")</f>
        <v/>
      </c>
      <c r="D618" s="74"/>
      <c r="E618" s="14"/>
      <c r="F618" s="14"/>
      <c r="G618" s="14"/>
      <c r="H618" s="14"/>
      <c r="Z618" s="2" t="str">
        <f>IF($B618&lt;&gt;"",INDEX(Config!$B$13:$AZ$76,MATCH($B618,Config!$B$13:$B$76,0),26),"")</f>
        <v/>
      </c>
      <c r="BA618" s="2" t="str">
        <f t="shared" si="22"/>
        <v/>
      </c>
    </row>
    <row r="619" spans="1:53" x14ac:dyDescent="0.15">
      <c r="A619" s="26" t="str">
        <f t="shared" si="21"/>
        <v/>
      </c>
      <c r="B619" s="14"/>
      <c r="C619" s="28" t="str">
        <f>IF(TRIM($B619)&lt;&gt;"",INDEX(Config!$B$13:$L$76,MATCH($B619,Config!$B$13:$B$76,0),2),"")</f>
        <v/>
      </c>
      <c r="D619" s="74"/>
      <c r="E619" s="14"/>
      <c r="F619" s="14"/>
      <c r="G619" s="14"/>
      <c r="H619" s="14"/>
      <c r="Z619" s="2" t="str">
        <f>IF($B619&lt;&gt;"",INDEX(Config!$B$13:$AZ$76,MATCH($B619,Config!$B$13:$B$76,0),26),"")</f>
        <v/>
      </c>
      <c r="BA619" s="2" t="str">
        <f t="shared" si="22"/>
        <v/>
      </c>
    </row>
    <row r="620" spans="1:53" x14ac:dyDescent="0.15">
      <c r="A620" s="26" t="str">
        <f t="shared" si="21"/>
        <v/>
      </c>
      <c r="B620" s="14"/>
      <c r="C620" s="28" t="str">
        <f>IF(TRIM($B620)&lt;&gt;"",INDEX(Config!$B$13:$L$76,MATCH($B620,Config!$B$13:$B$76,0),2),"")</f>
        <v/>
      </c>
      <c r="D620" s="74"/>
      <c r="E620" s="14"/>
      <c r="F620" s="14"/>
      <c r="G620" s="14"/>
      <c r="H620" s="14"/>
      <c r="Z620" s="2" t="str">
        <f>IF($B620&lt;&gt;"",INDEX(Config!$B$13:$AZ$76,MATCH($B620,Config!$B$13:$B$76,0),26),"")</f>
        <v/>
      </c>
      <c r="BA620" s="2" t="str">
        <f t="shared" si="22"/>
        <v/>
      </c>
    </row>
    <row r="621" spans="1:53" x14ac:dyDescent="0.15">
      <c r="A621" s="26" t="str">
        <f t="shared" si="21"/>
        <v/>
      </c>
      <c r="B621" s="14"/>
      <c r="C621" s="28" t="str">
        <f>IF(TRIM($B621)&lt;&gt;"",INDEX(Config!$B$13:$L$76,MATCH($B621,Config!$B$13:$B$76,0),2),"")</f>
        <v/>
      </c>
      <c r="D621" s="74"/>
      <c r="E621" s="14"/>
      <c r="F621" s="14"/>
      <c r="G621" s="14"/>
      <c r="H621" s="14"/>
      <c r="Z621" s="2" t="str">
        <f>IF($B621&lt;&gt;"",INDEX(Config!$B$13:$AZ$76,MATCH($B621,Config!$B$13:$B$76,0),26),"")</f>
        <v/>
      </c>
      <c r="BA621" s="2" t="str">
        <f t="shared" si="22"/>
        <v/>
      </c>
    </row>
    <row r="622" spans="1:53" x14ac:dyDescent="0.15">
      <c r="A622" s="26" t="str">
        <f t="shared" si="21"/>
        <v/>
      </c>
      <c r="B622" s="14"/>
      <c r="C622" s="28" t="str">
        <f>IF(TRIM($B622)&lt;&gt;"",INDEX(Config!$B$13:$L$76,MATCH($B622,Config!$B$13:$B$76,0),2),"")</f>
        <v/>
      </c>
      <c r="D622" s="74"/>
      <c r="E622" s="14"/>
      <c r="F622" s="14"/>
      <c r="G622" s="14"/>
      <c r="H622" s="14"/>
      <c r="Z622" s="2" t="str">
        <f>IF($B622&lt;&gt;"",INDEX(Config!$B$13:$AZ$76,MATCH($B622,Config!$B$13:$B$76,0),26),"")</f>
        <v/>
      </c>
      <c r="BA622" s="2" t="str">
        <f t="shared" si="22"/>
        <v/>
      </c>
    </row>
    <row r="623" spans="1:53" x14ac:dyDescent="0.15">
      <c r="A623" s="26" t="str">
        <f t="shared" si="21"/>
        <v/>
      </c>
      <c r="B623" s="14"/>
      <c r="C623" s="28" t="str">
        <f>IF(TRIM($B623)&lt;&gt;"",INDEX(Config!$B$13:$L$76,MATCH($B623,Config!$B$13:$B$76,0),2),"")</f>
        <v/>
      </c>
      <c r="D623" s="74"/>
      <c r="E623" s="14"/>
      <c r="F623" s="14"/>
      <c r="G623" s="14"/>
      <c r="H623" s="14"/>
      <c r="Z623" s="2" t="str">
        <f>IF($B623&lt;&gt;"",INDEX(Config!$B$13:$AZ$76,MATCH($B623,Config!$B$13:$B$76,0),26),"")</f>
        <v/>
      </c>
      <c r="BA623" s="2" t="str">
        <f t="shared" si="22"/>
        <v/>
      </c>
    </row>
    <row r="624" spans="1:53" x14ac:dyDescent="0.15">
      <c r="A624" s="26" t="str">
        <f t="shared" si="21"/>
        <v/>
      </c>
      <c r="B624" s="14"/>
      <c r="C624" s="28" t="str">
        <f>IF(TRIM($B624)&lt;&gt;"",INDEX(Config!$B$13:$L$76,MATCH($B624,Config!$B$13:$B$76,0),2),"")</f>
        <v/>
      </c>
      <c r="D624" s="74"/>
      <c r="E624" s="14"/>
      <c r="F624" s="14"/>
      <c r="G624" s="14"/>
      <c r="H624" s="14"/>
      <c r="Z624" s="2" t="str">
        <f>IF($B624&lt;&gt;"",INDEX(Config!$B$13:$AZ$76,MATCH($B624,Config!$B$13:$B$76,0),26),"")</f>
        <v/>
      </c>
      <c r="BA624" s="2" t="str">
        <f t="shared" si="22"/>
        <v/>
      </c>
    </row>
    <row r="625" spans="1:53" x14ac:dyDescent="0.15">
      <c r="A625" s="26" t="str">
        <f t="shared" si="21"/>
        <v/>
      </c>
      <c r="B625" s="14"/>
      <c r="C625" s="28" t="str">
        <f>IF(TRIM($B625)&lt;&gt;"",INDEX(Config!$B$13:$L$76,MATCH($B625,Config!$B$13:$B$76,0),2),"")</f>
        <v/>
      </c>
      <c r="D625" s="74"/>
      <c r="E625" s="14"/>
      <c r="F625" s="14"/>
      <c r="G625" s="14"/>
      <c r="H625" s="14"/>
      <c r="Z625" s="2" t="str">
        <f>IF($B625&lt;&gt;"",INDEX(Config!$B$13:$AZ$76,MATCH($B625,Config!$B$13:$B$76,0),26),"")</f>
        <v/>
      </c>
      <c r="BA625" s="2" t="str">
        <f t="shared" si="22"/>
        <v/>
      </c>
    </row>
    <row r="626" spans="1:53" x14ac:dyDescent="0.15">
      <c r="A626" s="26" t="str">
        <f t="shared" si="21"/>
        <v/>
      </c>
      <c r="B626" s="14"/>
      <c r="C626" s="28" t="str">
        <f>IF(TRIM($B626)&lt;&gt;"",INDEX(Config!$B$13:$L$76,MATCH($B626,Config!$B$13:$B$76,0),2),"")</f>
        <v/>
      </c>
      <c r="D626" s="74"/>
      <c r="E626" s="14"/>
      <c r="F626" s="14"/>
      <c r="G626" s="14"/>
      <c r="H626" s="14"/>
      <c r="Z626" s="2" t="str">
        <f>IF($B626&lt;&gt;"",INDEX(Config!$B$13:$AZ$76,MATCH($B626,Config!$B$13:$B$76,0),26),"")</f>
        <v/>
      </c>
      <c r="BA626" s="2" t="str">
        <f t="shared" si="22"/>
        <v/>
      </c>
    </row>
    <row r="627" spans="1:53" x14ac:dyDescent="0.15">
      <c r="A627" s="26" t="str">
        <f t="shared" si="21"/>
        <v/>
      </c>
      <c r="B627" s="14"/>
      <c r="C627" s="28" t="str">
        <f>IF(TRIM($B627)&lt;&gt;"",INDEX(Config!$B$13:$L$76,MATCH($B627,Config!$B$13:$B$76,0),2),"")</f>
        <v/>
      </c>
      <c r="D627" s="74"/>
      <c r="E627" s="14"/>
      <c r="F627" s="14"/>
      <c r="G627" s="14"/>
      <c r="H627" s="14"/>
      <c r="Z627" s="2" t="str">
        <f>IF($B627&lt;&gt;"",INDEX(Config!$B$13:$AZ$76,MATCH($B627,Config!$B$13:$B$76,0),26),"")</f>
        <v/>
      </c>
      <c r="BA627" s="2" t="str">
        <f t="shared" si="22"/>
        <v/>
      </c>
    </row>
    <row r="628" spans="1:53" x14ac:dyDescent="0.15">
      <c r="A628" s="26" t="str">
        <f t="shared" si="21"/>
        <v/>
      </c>
      <c r="B628" s="14"/>
      <c r="C628" s="28" t="str">
        <f>IF(TRIM($B628)&lt;&gt;"",INDEX(Config!$B$13:$L$76,MATCH($B628,Config!$B$13:$B$76,0),2),"")</f>
        <v/>
      </c>
      <c r="D628" s="74"/>
      <c r="E628" s="14"/>
      <c r="F628" s="14"/>
      <c r="G628" s="14"/>
      <c r="H628" s="14"/>
      <c r="Z628" s="2" t="str">
        <f>IF($B628&lt;&gt;"",INDEX(Config!$B$13:$AZ$76,MATCH($B628,Config!$B$13:$B$76,0),26),"")</f>
        <v/>
      </c>
      <c r="BA628" s="2" t="str">
        <f t="shared" si="22"/>
        <v/>
      </c>
    </row>
    <row r="629" spans="1:53" x14ac:dyDescent="0.15">
      <c r="A629" s="26" t="str">
        <f t="shared" si="21"/>
        <v/>
      </c>
      <c r="B629" s="14"/>
      <c r="C629" s="28" t="str">
        <f>IF(TRIM($B629)&lt;&gt;"",INDEX(Config!$B$13:$L$76,MATCH($B629,Config!$B$13:$B$76,0),2),"")</f>
        <v/>
      </c>
      <c r="D629" s="74"/>
      <c r="E629" s="14"/>
      <c r="F629" s="14"/>
      <c r="G629" s="14"/>
      <c r="H629" s="14"/>
      <c r="Z629" s="2" t="str">
        <f>IF($B629&lt;&gt;"",INDEX(Config!$B$13:$AZ$76,MATCH($B629,Config!$B$13:$B$76,0),26),"")</f>
        <v/>
      </c>
      <c r="BA629" s="2" t="str">
        <f t="shared" si="22"/>
        <v/>
      </c>
    </row>
    <row r="630" spans="1:53" x14ac:dyDescent="0.15">
      <c r="A630" s="26" t="str">
        <f t="shared" si="21"/>
        <v/>
      </c>
      <c r="B630" s="14"/>
      <c r="C630" s="28" t="str">
        <f>IF(TRIM($B630)&lt;&gt;"",INDEX(Config!$B$13:$L$76,MATCH($B630,Config!$B$13:$B$76,0),2),"")</f>
        <v/>
      </c>
      <c r="D630" s="74"/>
      <c r="E630" s="14"/>
      <c r="F630" s="14"/>
      <c r="G630" s="14"/>
      <c r="H630" s="14"/>
      <c r="Z630" s="2" t="str">
        <f>IF($B630&lt;&gt;"",INDEX(Config!$B$13:$AZ$76,MATCH($B630,Config!$B$13:$B$76,0),26),"")</f>
        <v/>
      </c>
      <c r="BA630" s="2" t="str">
        <f t="shared" si="22"/>
        <v/>
      </c>
    </row>
    <row r="631" spans="1:53" x14ac:dyDescent="0.15">
      <c r="A631" s="26" t="str">
        <f t="shared" si="21"/>
        <v/>
      </c>
      <c r="B631" s="14"/>
      <c r="C631" s="28" t="str">
        <f>IF(TRIM($B631)&lt;&gt;"",INDEX(Config!$B$13:$L$76,MATCH($B631,Config!$B$13:$B$76,0),2),"")</f>
        <v/>
      </c>
      <c r="D631" s="74"/>
      <c r="E631" s="14"/>
      <c r="F631" s="14"/>
      <c r="G631" s="14"/>
      <c r="H631" s="14"/>
      <c r="Z631" s="2" t="str">
        <f>IF($B631&lt;&gt;"",INDEX(Config!$B$13:$AZ$76,MATCH($B631,Config!$B$13:$B$76,0),26),"")</f>
        <v/>
      </c>
      <c r="BA631" s="2" t="str">
        <f t="shared" si="22"/>
        <v/>
      </c>
    </row>
    <row r="632" spans="1:53" x14ac:dyDescent="0.15">
      <c r="A632" s="26" t="str">
        <f t="shared" si="21"/>
        <v/>
      </c>
      <c r="B632" s="14"/>
      <c r="C632" s="28" t="str">
        <f>IF(TRIM($B632)&lt;&gt;"",INDEX(Config!$B$13:$L$76,MATCH($B632,Config!$B$13:$B$76,0),2),"")</f>
        <v/>
      </c>
      <c r="D632" s="74"/>
      <c r="E632" s="14"/>
      <c r="F632" s="14"/>
      <c r="G632" s="14"/>
      <c r="H632" s="14"/>
      <c r="Z632" s="2" t="str">
        <f>IF($B632&lt;&gt;"",INDEX(Config!$B$13:$AZ$76,MATCH($B632,Config!$B$13:$B$76,0),26),"")</f>
        <v/>
      </c>
      <c r="BA632" s="2" t="str">
        <f t="shared" si="22"/>
        <v/>
      </c>
    </row>
    <row r="633" spans="1:53" x14ac:dyDescent="0.15">
      <c r="A633" s="26" t="str">
        <f t="shared" si="21"/>
        <v/>
      </c>
      <c r="B633" s="14"/>
      <c r="C633" s="28" t="str">
        <f>IF(TRIM($B633)&lt;&gt;"",INDEX(Config!$B$13:$L$76,MATCH($B633,Config!$B$13:$B$76,0),2),"")</f>
        <v/>
      </c>
      <c r="D633" s="74"/>
      <c r="E633" s="14"/>
      <c r="F633" s="14"/>
      <c r="G633" s="14"/>
      <c r="H633" s="14"/>
      <c r="Z633" s="2" t="str">
        <f>IF($B633&lt;&gt;"",INDEX(Config!$B$13:$AZ$76,MATCH($B633,Config!$B$13:$B$76,0),26),"")</f>
        <v/>
      </c>
      <c r="BA633" s="2" t="str">
        <f t="shared" si="22"/>
        <v/>
      </c>
    </row>
    <row r="634" spans="1:53" x14ac:dyDescent="0.15">
      <c r="A634" s="26" t="str">
        <f t="shared" si="21"/>
        <v/>
      </c>
      <c r="B634" s="14"/>
      <c r="C634" s="28" t="str">
        <f>IF(TRIM($B634)&lt;&gt;"",INDEX(Config!$B$13:$L$76,MATCH($B634,Config!$B$13:$B$76,0),2),"")</f>
        <v/>
      </c>
      <c r="D634" s="74"/>
      <c r="E634" s="14"/>
      <c r="F634" s="14"/>
      <c r="G634" s="14"/>
      <c r="H634" s="14"/>
      <c r="Z634" s="2" t="str">
        <f>IF($B634&lt;&gt;"",INDEX(Config!$B$13:$AZ$76,MATCH($B634,Config!$B$13:$B$76,0),26),"")</f>
        <v/>
      </c>
      <c r="BA634" s="2" t="str">
        <f t="shared" si="22"/>
        <v/>
      </c>
    </row>
    <row r="635" spans="1:53" x14ac:dyDescent="0.15">
      <c r="A635" s="26" t="str">
        <f t="shared" si="21"/>
        <v/>
      </c>
      <c r="B635" s="14"/>
      <c r="C635" s="28" t="str">
        <f>IF(TRIM($B635)&lt;&gt;"",INDEX(Config!$B$13:$L$76,MATCH($B635,Config!$B$13:$B$76,0),2),"")</f>
        <v/>
      </c>
      <c r="D635" s="74"/>
      <c r="E635" s="14"/>
      <c r="F635" s="14"/>
      <c r="G635" s="14"/>
      <c r="H635" s="14"/>
      <c r="Z635" s="2" t="str">
        <f>IF($B635&lt;&gt;"",INDEX(Config!$B$13:$AZ$76,MATCH($B635,Config!$B$13:$B$76,0),26),"")</f>
        <v/>
      </c>
      <c r="BA635" s="2" t="str">
        <f t="shared" si="22"/>
        <v/>
      </c>
    </row>
    <row r="636" spans="1:53" x14ac:dyDescent="0.15">
      <c r="A636" s="26" t="str">
        <f t="shared" si="21"/>
        <v/>
      </c>
      <c r="B636" s="14"/>
      <c r="C636" s="28" t="str">
        <f>IF(TRIM($B636)&lt;&gt;"",INDEX(Config!$B$13:$L$76,MATCH($B636,Config!$B$13:$B$76,0),2),"")</f>
        <v/>
      </c>
      <c r="D636" s="74"/>
      <c r="E636" s="14"/>
      <c r="F636" s="14"/>
      <c r="G636" s="14"/>
      <c r="H636" s="14"/>
      <c r="Z636" s="2" t="str">
        <f>IF($B636&lt;&gt;"",INDEX(Config!$B$13:$AZ$76,MATCH($B636,Config!$B$13:$B$76,0),26),"")</f>
        <v/>
      </c>
      <c r="BA636" s="2" t="str">
        <f t="shared" si="22"/>
        <v/>
      </c>
    </row>
    <row r="637" spans="1:53" x14ac:dyDescent="0.15">
      <c r="A637" s="26" t="str">
        <f t="shared" si="21"/>
        <v/>
      </c>
      <c r="B637" s="14"/>
      <c r="C637" s="28" t="str">
        <f>IF(TRIM($B637)&lt;&gt;"",INDEX(Config!$B$13:$L$76,MATCH($B637,Config!$B$13:$B$76,0),2),"")</f>
        <v/>
      </c>
      <c r="D637" s="74"/>
      <c r="E637" s="14"/>
      <c r="F637" s="14"/>
      <c r="G637" s="14"/>
      <c r="H637" s="14"/>
      <c r="Z637" s="2" t="str">
        <f>IF($B637&lt;&gt;"",INDEX(Config!$B$13:$AZ$76,MATCH($B637,Config!$B$13:$B$76,0),26),"")</f>
        <v/>
      </c>
      <c r="BA637" s="2" t="str">
        <f t="shared" si="22"/>
        <v/>
      </c>
    </row>
    <row r="638" spans="1:53" x14ac:dyDescent="0.15">
      <c r="A638" s="26" t="str">
        <f t="shared" si="21"/>
        <v/>
      </c>
      <c r="B638" s="14"/>
      <c r="C638" s="28" t="str">
        <f>IF(TRIM($B638)&lt;&gt;"",INDEX(Config!$B$13:$L$76,MATCH($B638,Config!$B$13:$B$76,0),2),"")</f>
        <v/>
      </c>
      <c r="D638" s="74"/>
      <c r="E638" s="14"/>
      <c r="F638" s="14"/>
      <c r="G638" s="14"/>
      <c r="H638" s="14"/>
      <c r="Z638" s="2" t="str">
        <f>IF($B638&lt;&gt;"",INDEX(Config!$B$13:$AZ$76,MATCH($B638,Config!$B$13:$B$76,0),26),"")</f>
        <v/>
      </c>
      <c r="BA638" s="2" t="str">
        <f t="shared" si="22"/>
        <v/>
      </c>
    </row>
    <row r="639" spans="1:53" x14ac:dyDescent="0.15">
      <c r="A639" s="26" t="str">
        <f t="shared" si="21"/>
        <v/>
      </c>
      <c r="B639" s="14"/>
      <c r="C639" s="28" t="str">
        <f>IF(TRIM($B639)&lt;&gt;"",INDEX(Config!$B$13:$L$76,MATCH($B639,Config!$B$13:$B$76,0),2),"")</f>
        <v/>
      </c>
      <c r="D639" s="74"/>
      <c r="E639" s="14"/>
      <c r="F639" s="14"/>
      <c r="G639" s="14"/>
      <c r="H639" s="14"/>
      <c r="Z639" s="2" t="str">
        <f>IF($B639&lt;&gt;"",INDEX(Config!$B$13:$AZ$76,MATCH($B639,Config!$B$13:$B$76,0),26),"")</f>
        <v/>
      </c>
      <c r="BA639" s="2" t="str">
        <f t="shared" si="22"/>
        <v/>
      </c>
    </row>
    <row r="640" spans="1:53" x14ac:dyDescent="0.15">
      <c r="A640" s="26" t="str">
        <f t="shared" si="21"/>
        <v/>
      </c>
      <c r="B640" s="14"/>
      <c r="C640" s="28" t="str">
        <f>IF(TRIM($B640)&lt;&gt;"",INDEX(Config!$B$13:$L$76,MATCH($B640,Config!$B$13:$B$76,0),2),"")</f>
        <v/>
      </c>
      <c r="D640" s="74"/>
      <c r="E640" s="14"/>
      <c r="F640" s="14"/>
      <c r="G640" s="14"/>
      <c r="H640" s="14"/>
      <c r="Z640" s="2" t="str">
        <f>IF($B640&lt;&gt;"",INDEX(Config!$B$13:$AZ$76,MATCH($B640,Config!$B$13:$B$76,0),26),"")</f>
        <v/>
      </c>
      <c r="BA640" s="2" t="str">
        <f t="shared" si="22"/>
        <v/>
      </c>
    </row>
    <row r="641" spans="1:53" x14ac:dyDescent="0.15">
      <c r="A641" s="26" t="str">
        <f t="shared" si="21"/>
        <v/>
      </c>
      <c r="B641" s="14"/>
      <c r="C641" s="28" t="str">
        <f>IF(TRIM($B641)&lt;&gt;"",INDEX(Config!$B$13:$L$76,MATCH($B641,Config!$B$13:$B$76,0),2),"")</f>
        <v/>
      </c>
      <c r="D641" s="74"/>
      <c r="E641" s="14"/>
      <c r="F641" s="14"/>
      <c r="G641" s="14"/>
      <c r="H641" s="14"/>
      <c r="Z641" s="2" t="str">
        <f>IF($B641&lt;&gt;"",INDEX(Config!$B$13:$AZ$76,MATCH($B641,Config!$B$13:$B$76,0),26),"")</f>
        <v/>
      </c>
      <c r="BA641" s="2" t="str">
        <f t="shared" si="22"/>
        <v/>
      </c>
    </row>
    <row r="642" spans="1:53" x14ac:dyDescent="0.15">
      <c r="A642" s="26" t="str">
        <f t="shared" si="21"/>
        <v/>
      </c>
      <c r="B642" s="14"/>
      <c r="C642" s="28" t="str">
        <f>IF(TRIM($B642)&lt;&gt;"",INDEX(Config!$B$13:$L$76,MATCH($B642,Config!$B$13:$B$76,0),2),"")</f>
        <v/>
      </c>
      <c r="D642" s="74"/>
      <c r="E642" s="14"/>
      <c r="F642" s="14"/>
      <c r="G642" s="14"/>
      <c r="H642" s="14"/>
      <c r="Z642" s="2" t="str">
        <f>IF($B642&lt;&gt;"",INDEX(Config!$B$13:$AZ$76,MATCH($B642,Config!$B$13:$B$76,0),26),"")</f>
        <v/>
      </c>
      <c r="BA642" s="2" t="str">
        <f t="shared" si="22"/>
        <v/>
      </c>
    </row>
    <row r="643" spans="1:53" x14ac:dyDescent="0.15">
      <c r="A643" s="26" t="str">
        <f t="shared" si="21"/>
        <v/>
      </c>
      <c r="B643" s="14"/>
      <c r="C643" s="28" t="str">
        <f>IF(TRIM($B643)&lt;&gt;"",INDEX(Config!$B$13:$L$76,MATCH($B643,Config!$B$13:$B$76,0),2),"")</f>
        <v/>
      </c>
      <c r="D643" s="74"/>
      <c r="E643" s="14"/>
      <c r="F643" s="14"/>
      <c r="G643" s="14"/>
      <c r="H643" s="14"/>
      <c r="Z643" s="2" t="str">
        <f>IF($B643&lt;&gt;"",INDEX(Config!$B$13:$AZ$76,MATCH($B643,Config!$B$13:$B$76,0),26),"")</f>
        <v/>
      </c>
      <c r="BA643" s="2" t="str">
        <f t="shared" si="22"/>
        <v/>
      </c>
    </row>
    <row r="644" spans="1:53" x14ac:dyDescent="0.15">
      <c r="A644" s="26" t="str">
        <f t="shared" si="21"/>
        <v/>
      </c>
      <c r="B644" s="14"/>
      <c r="C644" s="28" t="str">
        <f>IF(TRIM($B644)&lt;&gt;"",INDEX(Config!$B$13:$L$76,MATCH($B644,Config!$B$13:$B$76,0),2),"")</f>
        <v/>
      </c>
      <c r="D644" s="74"/>
      <c r="E644" s="14"/>
      <c r="F644" s="14"/>
      <c r="G644" s="14"/>
      <c r="H644" s="14"/>
      <c r="Z644" s="2" t="str">
        <f>IF($B644&lt;&gt;"",INDEX(Config!$B$13:$AZ$76,MATCH($B644,Config!$B$13:$B$76,0),26),"")</f>
        <v/>
      </c>
      <c r="BA644" s="2" t="str">
        <f t="shared" si="22"/>
        <v/>
      </c>
    </row>
    <row r="645" spans="1:53" x14ac:dyDescent="0.15">
      <c r="A645" s="26" t="str">
        <f t="shared" si="21"/>
        <v/>
      </c>
      <c r="B645" s="14"/>
      <c r="C645" s="28" t="str">
        <f>IF(TRIM($B645)&lt;&gt;"",INDEX(Config!$B$13:$L$76,MATCH($B645,Config!$B$13:$B$76,0),2),"")</f>
        <v/>
      </c>
      <c r="D645" s="74"/>
      <c r="E645" s="14"/>
      <c r="F645" s="14"/>
      <c r="G645" s="14"/>
      <c r="H645" s="14"/>
      <c r="Z645" s="2" t="str">
        <f>IF($B645&lt;&gt;"",INDEX(Config!$B$13:$AZ$76,MATCH($B645,Config!$B$13:$B$76,0),26),"")</f>
        <v/>
      </c>
      <c r="BA645" s="2" t="str">
        <f t="shared" si="22"/>
        <v/>
      </c>
    </row>
    <row r="646" spans="1:53" x14ac:dyDescent="0.15">
      <c r="A646" s="26" t="str">
        <f t="shared" si="21"/>
        <v/>
      </c>
      <c r="B646" s="14"/>
      <c r="C646" s="28" t="str">
        <f>IF(TRIM($B646)&lt;&gt;"",INDEX(Config!$B$13:$L$76,MATCH($B646,Config!$B$13:$B$76,0),2),"")</f>
        <v/>
      </c>
      <c r="D646" s="74"/>
      <c r="E646" s="14"/>
      <c r="F646" s="14"/>
      <c r="G646" s="14"/>
      <c r="H646" s="14"/>
      <c r="Z646" s="2" t="str">
        <f>IF($B646&lt;&gt;"",INDEX(Config!$B$13:$AZ$76,MATCH($B646,Config!$B$13:$B$76,0),26),"")</f>
        <v/>
      </c>
      <c r="BA646" s="2" t="str">
        <f t="shared" si="22"/>
        <v/>
      </c>
    </row>
    <row r="647" spans="1:53" x14ac:dyDescent="0.15">
      <c r="A647" s="26" t="str">
        <f t="shared" si="21"/>
        <v/>
      </c>
      <c r="B647" s="14"/>
      <c r="C647" s="28" t="str">
        <f>IF(TRIM($B647)&lt;&gt;"",INDEX(Config!$B$13:$L$76,MATCH($B647,Config!$B$13:$B$76,0),2),"")</f>
        <v/>
      </c>
      <c r="D647" s="74"/>
      <c r="E647" s="14"/>
      <c r="F647" s="14"/>
      <c r="G647" s="14"/>
      <c r="H647" s="14"/>
      <c r="Z647" s="2" t="str">
        <f>IF($B647&lt;&gt;"",INDEX(Config!$B$13:$AZ$76,MATCH($B647,Config!$B$13:$B$76,0),26),"")</f>
        <v/>
      </c>
      <c r="BA647" s="2" t="str">
        <f t="shared" si="22"/>
        <v/>
      </c>
    </row>
    <row r="648" spans="1:53" x14ac:dyDescent="0.15">
      <c r="A648" s="26" t="str">
        <f t="shared" ref="A648:A711" si="23">IF(B648&lt;&gt;"","#"&amp;ROW()-1,"")</f>
        <v/>
      </c>
      <c r="B648" s="14"/>
      <c r="C648" s="28" t="str">
        <f>IF(TRIM($B648)&lt;&gt;"",INDEX(Config!$B$13:$L$76,MATCH($B648,Config!$B$13:$B$76,0),2),"")</f>
        <v/>
      </c>
      <c r="D648" s="74"/>
      <c r="E648" s="14"/>
      <c r="F648" s="14"/>
      <c r="G648" s="14"/>
      <c r="H648" s="14"/>
      <c r="Z648" s="2" t="str">
        <f>IF($B648&lt;&gt;"",INDEX(Config!$B$13:$AZ$76,MATCH($B648,Config!$B$13:$B$76,0),26),"")</f>
        <v/>
      </c>
      <c r="BA648" s="2" t="str">
        <f t="shared" ref="BA648:BA711" si="24">IF($B648&lt;&gt;"",ROW()-1,"")</f>
        <v/>
      </c>
    </row>
    <row r="649" spans="1:53" x14ac:dyDescent="0.15">
      <c r="A649" s="26" t="str">
        <f t="shared" si="23"/>
        <v/>
      </c>
      <c r="B649" s="14"/>
      <c r="C649" s="28" t="str">
        <f>IF(TRIM($B649)&lt;&gt;"",INDEX(Config!$B$13:$L$76,MATCH($B649,Config!$B$13:$B$76,0),2),"")</f>
        <v/>
      </c>
      <c r="D649" s="74"/>
      <c r="E649" s="14"/>
      <c r="F649" s="14"/>
      <c r="G649" s="14"/>
      <c r="H649" s="14"/>
      <c r="Z649" s="2" t="str">
        <f>IF($B649&lt;&gt;"",INDEX(Config!$B$13:$AZ$76,MATCH($B649,Config!$B$13:$B$76,0),26),"")</f>
        <v/>
      </c>
      <c r="BA649" s="2" t="str">
        <f t="shared" si="24"/>
        <v/>
      </c>
    </row>
    <row r="650" spans="1:53" x14ac:dyDescent="0.15">
      <c r="A650" s="26" t="str">
        <f t="shared" si="23"/>
        <v/>
      </c>
      <c r="B650" s="14"/>
      <c r="C650" s="28" t="str">
        <f>IF(TRIM($B650)&lt;&gt;"",INDEX(Config!$B$13:$L$76,MATCH($B650,Config!$B$13:$B$76,0),2),"")</f>
        <v/>
      </c>
      <c r="D650" s="74"/>
      <c r="E650" s="14"/>
      <c r="F650" s="14"/>
      <c r="G650" s="14"/>
      <c r="H650" s="14"/>
      <c r="Z650" s="2" t="str">
        <f>IF($B650&lt;&gt;"",INDEX(Config!$B$13:$AZ$76,MATCH($B650,Config!$B$13:$B$76,0),26),"")</f>
        <v/>
      </c>
      <c r="BA650" s="2" t="str">
        <f t="shared" si="24"/>
        <v/>
      </c>
    </row>
    <row r="651" spans="1:53" x14ac:dyDescent="0.15">
      <c r="A651" s="26" t="str">
        <f t="shared" si="23"/>
        <v/>
      </c>
      <c r="B651" s="14"/>
      <c r="C651" s="28" t="str">
        <f>IF(TRIM($B651)&lt;&gt;"",INDEX(Config!$B$13:$L$76,MATCH($B651,Config!$B$13:$B$76,0),2),"")</f>
        <v/>
      </c>
      <c r="D651" s="74"/>
      <c r="E651" s="14"/>
      <c r="F651" s="14"/>
      <c r="G651" s="14"/>
      <c r="H651" s="14"/>
      <c r="Z651" s="2" t="str">
        <f>IF($B651&lt;&gt;"",INDEX(Config!$B$13:$AZ$76,MATCH($B651,Config!$B$13:$B$76,0),26),"")</f>
        <v/>
      </c>
      <c r="BA651" s="2" t="str">
        <f t="shared" si="24"/>
        <v/>
      </c>
    </row>
    <row r="652" spans="1:53" x14ac:dyDescent="0.15">
      <c r="A652" s="26" t="str">
        <f t="shared" si="23"/>
        <v/>
      </c>
      <c r="B652" s="14"/>
      <c r="C652" s="28" t="str">
        <f>IF(TRIM($B652)&lt;&gt;"",INDEX(Config!$B$13:$L$76,MATCH($B652,Config!$B$13:$B$76,0),2),"")</f>
        <v/>
      </c>
      <c r="D652" s="74"/>
      <c r="E652" s="14"/>
      <c r="F652" s="14"/>
      <c r="G652" s="14"/>
      <c r="H652" s="14"/>
      <c r="Z652" s="2" t="str">
        <f>IF($B652&lt;&gt;"",INDEX(Config!$B$13:$AZ$76,MATCH($B652,Config!$B$13:$B$76,0),26),"")</f>
        <v/>
      </c>
      <c r="BA652" s="2" t="str">
        <f t="shared" si="24"/>
        <v/>
      </c>
    </row>
    <row r="653" spans="1:53" x14ac:dyDescent="0.15">
      <c r="A653" s="26" t="str">
        <f t="shared" si="23"/>
        <v/>
      </c>
      <c r="B653" s="14"/>
      <c r="C653" s="28" t="str">
        <f>IF(TRIM($B653)&lt;&gt;"",INDEX(Config!$B$13:$L$76,MATCH($B653,Config!$B$13:$B$76,0),2),"")</f>
        <v/>
      </c>
      <c r="D653" s="74"/>
      <c r="E653" s="14"/>
      <c r="F653" s="14"/>
      <c r="G653" s="14"/>
      <c r="H653" s="14"/>
      <c r="Z653" s="2" t="str">
        <f>IF($B653&lt;&gt;"",INDEX(Config!$B$13:$AZ$76,MATCH($B653,Config!$B$13:$B$76,0),26),"")</f>
        <v/>
      </c>
      <c r="BA653" s="2" t="str">
        <f t="shared" si="24"/>
        <v/>
      </c>
    </row>
    <row r="654" spans="1:53" x14ac:dyDescent="0.15">
      <c r="A654" s="26" t="str">
        <f t="shared" si="23"/>
        <v/>
      </c>
      <c r="B654" s="14"/>
      <c r="C654" s="28" t="str">
        <f>IF(TRIM($B654)&lt;&gt;"",INDEX(Config!$B$13:$L$76,MATCH($B654,Config!$B$13:$B$76,0),2),"")</f>
        <v/>
      </c>
      <c r="D654" s="74"/>
      <c r="E654" s="14"/>
      <c r="F654" s="14"/>
      <c r="G654" s="14"/>
      <c r="H654" s="14"/>
      <c r="Z654" s="2" t="str">
        <f>IF($B654&lt;&gt;"",INDEX(Config!$B$13:$AZ$76,MATCH($B654,Config!$B$13:$B$76,0),26),"")</f>
        <v/>
      </c>
      <c r="BA654" s="2" t="str">
        <f t="shared" si="24"/>
        <v/>
      </c>
    </row>
    <row r="655" spans="1:53" x14ac:dyDescent="0.15">
      <c r="A655" s="26" t="str">
        <f t="shared" si="23"/>
        <v/>
      </c>
      <c r="B655" s="14"/>
      <c r="C655" s="28" t="str">
        <f>IF(TRIM($B655)&lt;&gt;"",INDEX(Config!$B$13:$L$76,MATCH($B655,Config!$B$13:$B$76,0),2),"")</f>
        <v/>
      </c>
      <c r="D655" s="74"/>
      <c r="E655" s="14"/>
      <c r="F655" s="14"/>
      <c r="G655" s="14"/>
      <c r="H655" s="14"/>
      <c r="Z655" s="2" t="str">
        <f>IF($B655&lt;&gt;"",INDEX(Config!$B$13:$AZ$76,MATCH($B655,Config!$B$13:$B$76,0),26),"")</f>
        <v/>
      </c>
      <c r="BA655" s="2" t="str">
        <f t="shared" si="24"/>
        <v/>
      </c>
    </row>
    <row r="656" spans="1:53" x14ac:dyDescent="0.15">
      <c r="A656" s="26" t="str">
        <f t="shared" si="23"/>
        <v/>
      </c>
      <c r="B656" s="14"/>
      <c r="C656" s="28" t="str">
        <f>IF(TRIM($B656)&lt;&gt;"",INDEX(Config!$B$13:$L$76,MATCH($B656,Config!$B$13:$B$76,0),2),"")</f>
        <v/>
      </c>
      <c r="D656" s="74"/>
      <c r="E656" s="14"/>
      <c r="F656" s="14"/>
      <c r="G656" s="14"/>
      <c r="H656" s="14"/>
      <c r="Z656" s="2" t="str">
        <f>IF($B656&lt;&gt;"",INDEX(Config!$B$13:$AZ$76,MATCH($B656,Config!$B$13:$B$76,0),26),"")</f>
        <v/>
      </c>
      <c r="BA656" s="2" t="str">
        <f t="shared" si="24"/>
        <v/>
      </c>
    </row>
    <row r="657" spans="1:53" x14ac:dyDescent="0.15">
      <c r="A657" s="26" t="str">
        <f t="shared" si="23"/>
        <v/>
      </c>
      <c r="B657" s="14"/>
      <c r="C657" s="28" t="str">
        <f>IF(TRIM($B657)&lt;&gt;"",INDEX(Config!$B$13:$L$76,MATCH($B657,Config!$B$13:$B$76,0),2),"")</f>
        <v/>
      </c>
      <c r="D657" s="74"/>
      <c r="E657" s="14"/>
      <c r="F657" s="14"/>
      <c r="G657" s="14"/>
      <c r="H657" s="14"/>
      <c r="Z657" s="2" t="str">
        <f>IF($B657&lt;&gt;"",INDEX(Config!$B$13:$AZ$76,MATCH($B657,Config!$B$13:$B$76,0),26),"")</f>
        <v/>
      </c>
      <c r="BA657" s="2" t="str">
        <f t="shared" si="24"/>
        <v/>
      </c>
    </row>
    <row r="658" spans="1:53" x14ac:dyDescent="0.15">
      <c r="A658" s="26" t="str">
        <f t="shared" si="23"/>
        <v/>
      </c>
      <c r="B658" s="14"/>
      <c r="C658" s="28" t="str">
        <f>IF(TRIM($B658)&lt;&gt;"",INDEX(Config!$B$13:$L$76,MATCH($B658,Config!$B$13:$B$76,0),2),"")</f>
        <v/>
      </c>
      <c r="D658" s="74"/>
      <c r="E658" s="14"/>
      <c r="F658" s="14"/>
      <c r="G658" s="14"/>
      <c r="H658" s="14"/>
      <c r="Z658" s="2" t="str">
        <f>IF($B658&lt;&gt;"",INDEX(Config!$B$13:$AZ$76,MATCH($B658,Config!$B$13:$B$76,0),26),"")</f>
        <v/>
      </c>
      <c r="BA658" s="2" t="str">
        <f t="shared" si="24"/>
        <v/>
      </c>
    </row>
    <row r="659" spans="1:53" x14ac:dyDescent="0.15">
      <c r="A659" s="26" t="str">
        <f t="shared" si="23"/>
        <v/>
      </c>
      <c r="B659" s="14"/>
      <c r="C659" s="28" t="str">
        <f>IF(TRIM($B659)&lt;&gt;"",INDEX(Config!$B$13:$L$76,MATCH($B659,Config!$B$13:$B$76,0),2),"")</f>
        <v/>
      </c>
      <c r="D659" s="74"/>
      <c r="E659" s="14"/>
      <c r="F659" s="14"/>
      <c r="G659" s="14"/>
      <c r="H659" s="14"/>
      <c r="Z659" s="2" t="str">
        <f>IF($B659&lt;&gt;"",INDEX(Config!$B$13:$AZ$76,MATCH($B659,Config!$B$13:$B$76,0),26),"")</f>
        <v/>
      </c>
      <c r="BA659" s="2" t="str">
        <f t="shared" si="24"/>
        <v/>
      </c>
    </row>
    <row r="660" spans="1:53" x14ac:dyDescent="0.15">
      <c r="A660" s="26" t="str">
        <f t="shared" si="23"/>
        <v/>
      </c>
      <c r="B660" s="14"/>
      <c r="C660" s="28" t="str">
        <f>IF(TRIM($B660)&lt;&gt;"",INDEX(Config!$B$13:$L$76,MATCH($B660,Config!$B$13:$B$76,0),2),"")</f>
        <v/>
      </c>
      <c r="D660" s="74"/>
      <c r="E660" s="14"/>
      <c r="F660" s="14"/>
      <c r="G660" s="14"/>
      <c r="H660" s="14"/>
      <c r="Z660" s="2" t="str">
        <f>IF($B660&lt;&gt;"",INDEX(Config!$B$13:$AZ$76,MATCH($B660,Config!$B$13:$B$76,0),26),"")</f>
        <v/>
      </c>
      <c r="BA660" s="2" t="str">
        <f t="shared" si="24"/>
        <v/>
      </c>
    </row>
    <row r="661" spans="1:53" x14ac:dyDescent="0.15">
      <c r="A661" s="26" t="str">
        <f t="shared" si="23"/>
        <v/>
      </c>
      <c r="B661" s="14"/>
      <c r="C661" s="28" t="str">
        <f>IF(TRIM($B661)&lt;&gt;"",INDEX(Config!$B$13:$L$76,MATCH($B661,Config!$B$13:$B$76,0),2),"")</f>
        <v/>
      </c>
      <c r="D661" s="74"/>
      <c r="E661" s="14"/>
      <c r="F661" s="14"/>
      <c r="G661" s="14"/>
      <c r="H661" s="14"/>
      <c r="Z661" s="2" t="str">
        <f>IF($B661&lt;&gt;"",INDEX(Config!$B$13:$AZ$76,MATCH($B661,Config!$B$13:$B$76,0),26),"")</f>
        <v/>
      </c>
      <c r="BA661" s="2" t="str">
        <f t="shared" si="24"/>
        <v/>
      </c>
    </row>
    <row r="662" spans="1:53" x14ac:dyDescent="0.15">
      <c r="A662" s="26" t="str">
        <f t="shared" si="23"/>
        <v/>
      </c>
      <c r="B662" s="14"/>
      <c r="C662" s="28" t="str">
        <f>IF(TRIM($B662)&lt;&gt;"",INDEX(Config!$B$13:$L$76,MATCH($B662,Config!$B$13:$B$76,0),2),"")</f>
        <v/>
      </c>
      <c r="D662" s="74"/>
      <c r="E662" s="14"/>
      <c r="F662" s="14"/>
      <c r="G662" s="14"/>
      <c r="H662" s="14"/>
      <c r="Z662" s="2" t="str">
        <f>IF($B662&lt;&gt;"",INDEX(Config!$B$13:$AZ$76,MATCH($B662,Config!$B$13:$B$76,0),26),"")</f>
        <v/>
      </c>
      <c r="BA662" s="2" t="str">
        <f t="shared" si="24"/>
        <v/>
      </c>
    </row>
    <row r="663" spans="1:53" x14ac:dyDescent="0.15">
      <c r="A663" s="26" t="str">
        <f t="shared" si="23"/>
        <v/>
      </c>
      <c r="B663" s="14"/>
      <c r="C663" s="28" t="str">
        <f>IF(TRIM($B663)&lt;&gt;"",INDEX(Config!$B$13:$L$76,MATCH($B663,Config!$B$13:$B$76,0),2),"")</f>
        <v/>
      </c>
      <c r="D663" s="74"/>
      <c r="E663" s="14"/>
      <c r="F663" s="14"/>
      <c r="G663" s="14"/>
      <c r="H663" s="14"/>
      <c r="Z663" s="2" t="str">
        <f>IF($B663&lt;&gt;"",INDEX(Config!$B$13:$AZ$76,MATCH($B663,Config!$B$13:$B$76,0),26),"")</f>
        <v/>
      </c>
      <c r="BA663" s="2" t="str">
        <f t="shared" si="24"/>
        <v/>
      </c>
    </row>
    <row r="664" spans="1:53" x14ac:dyDescent="0.15">
      <c r="A664" s="26" t="str">
        <f t="shared" si="23"/>
        <v/>
      </c>
      <c r="B664" s="14"/>
      <c r="C664" s="28" t="str">
        <f>IF(TRIM($B664)&lt;&gt;"",INDEX(Config!$B$13:$L$76,MATCH($B664,Config!$B$13:$B$76,0),2),"")</f>
        <v/>
      </c>
      <c r="D664" s="74"/>
      <c r="E664" s="14"/>
      <c r="F664" s="14"/>
      <c r="G664" s="14"/>
      <c r="H664" s="14"/>
      <c r="Z664" s="2" t="str">
        <f>IF($B664&lt;&gt;"",INDEX(Config!$B$13:$AZ$76,MATCH($B664,Config!$B$13:$B$76,0),26),"")</f>
        <v/>
      </c>
      <c r="BA664" s="2" t="str">
        <f t="shared" si="24"/>
        <v/>
      </c>
    </row>
    <row r="665" spans="1:53" x14ac:dyDescent="0.15">
      <c r="A665" s="26" t="str">
        <f t="shared" si="23"/>
        <v/>
      </c>
      <c r="B665" s="14"/>
      <c r="C665" s="28" t="str">
        <f>IF(TRIM($B665)&lt;&gt;"",INDEX(Config!$B$13:$L$76,MATCH($B665,Config!$B$13:$B$76,0),2),"")</f>
        <v/>
      </c>
      <c r="D665" s="74"/>
      <c r="E665" s="14"/>
      <c r="F665" s="14"/>
      <c r="G665" s="14"/>
      <c r="H665" s="14"/>
      <c r="Z665" s="2" t="str">
        <f>IF($B665&lt;&gt;"",INDEX(Config!$B$13:$AZ$76,MATCH($B665,Config!$B$13:$B$76,0),26),"")</f>
        <v/>
      </c>
      <c r="BA665" s="2" t="str">
        <f t="shared" si="24"/>
        <v/>
      </c>
    </row>
    <row r="666" spans="1:53" x14ac:dyDescent="0.15">
      <c r="A666" s="26" t="str">
        <f t="shared" si="23"/>
        <v/>
      </c>
      <c r="B666" s="14"/>
      <c r="C666" s="28" t="str">
        <f>IF(TRIM($B666)&lt;&gt;"",INDEX(Config!$B$13:$L$76,MATCH($B666,Config!$B$13:$B$76,0),2),"")</f>
        <v/>
      </c>
      <c r="D666" s="74"/>
      <c r="E666" s="14"/>
      <c r="F666" s="14"/>
      <c r="G666" s="14"/>
      <c r="H666" s="14"/>
      <c r="Z666" s="2" t="str">
        <f>IF($B666&lt;&gt;"",INDEX(Config!$B$13:$AZ$76,MATCH($B666,Config!$B$13:$B$76,0),26),"")</f>
        <v/>
      </c>
      <c r="BA666" s="2" t="str">
        <f t="shared" si="24"/>
        <v/>
      </c>
    </row>
    <row r="667" spans="1:53" x14ac:dyDescent="0.15">
      <c r="A667" s="26" t="str">
        <f t="shared" si="23"/>
        <v/>
      </c>
      <c r="B667" s="14"/>
      <c r="C667" s="28" t="str">
        <f>IF(TRIM($B667)&lt;&gt;"",INDEX(Config!$B$13:$L$76,MATCH($B667,Config!$B$13:$B$76,0),2),"")</f>
        <v/>
      </c>
      <c r="D667" s="74"/>
      <c r="E667" s="14"/>
      <c r="F667" s="14"/>
      <c r="G667" s="14"/>
      <c r="H667" s="14"/>
      <c r="Z667" s="2" t="str">
        <f>IF($B667&lt;&gt;"",INDEX(Config!$B$13:$AZ$76,MATCH($B667,Config!$B$13:$B$76,0),26),"")</f>
        <v/>
      </c>
      <c r="BA667" s="2" t="str">
        <f t="shared" si="24"/>
        <v/>
      </c>
    </row>
    <row r="668" spans="1:53" x14ac:dyDescent="0.15">
      <c r="A668" s="26" t="str">
        <f t="shared" si="23"/>
        <v/>
      </c>
      <c r="B668" s="14"/>
      <c r="C668" s="28" t="str">
        <f>IF(TRIM($B668)&lt;&gt;"",INDEX(Config!$B$13:$L$76,MATCH($B668,Config!$B$13:$B$76,0),2),"")</f>
        <v/>
      </c>
      <c r="D668" s="74"/>
      <c r="E668" s="14"/>
      <c r="F668" s="14"/>
      <c r="G668" s="14"/>
      <c r="H668" s="14"/>
      <c r="Z668" s="2" t="str">
        <f>IF($B668&lt;&gt;"",INDEX(Config!$B$13:$AZ$76,MATCH($B668,Config!$B$13:$B$76,0),26),"")</f>
        <v/>
      </c>
      <c r="BA668" s="2" t="str">
        <f t="shared" si="24"/>
        <v/>
      </c>
    </row>
    <row r="669" spans="1:53" x14ac:dyDescent="0.15">
      <c r="A669" s="26" t="str">
        <f t="shared" si="23"/>
        <v/>
      </c>
      <c r="B669" s="14"/>
      <c r="C669" s="28" t="str">
        <f>IF(TRIM($B669)&lt;&gt;"",INDEX(Config!$B$13:$L$76,MATCH($B669,Config!$B$13:$B$76,0),2),"")</f>
        <v/>
      </c>
      <c r="D669" s="74"/>
      <c r="E669" s="14"/>
      <c r="F669" s="14"/>
      <c r="G669" s="14"/>
      <c r="H669" s="14"/>
      <c r="Z669" s="2" t="str">
        <f>IF($B669&lt;&gt;"",INDEX(Config!$B$13:$AZ$76,MATCH($B669,Config!$B$13:$B$76,0),26),"")</f>
        <v/>
      </c>
      <c r="BA669" s="2" t="str">
        <f t="shared" si="24"/>
        <v/>
      </c>
    </row>
    <row r="670" spans="1:53" x14ac:dyDescent="0.15">
      <c r="A670" s="26" t="str">
        <f t="shared" si="23"/>
        <v/>
      </c>
      <c r="B670" s="14"/>
      <c r="C670" s="28" t="str">
        <f>IF(TRIM($B670)&lt;&gt;"",INDEX(Config!$B$13:$L$76,MATCH($B670,Config!$B$13:$B$76,0),2),"")</f>
        <v/>
      </c>
      <c r="D670" s="74"/>
      <c r="E670" s="14"/>
      <c r="F670" s="14"/>
      <c r="G670" s="14"/>
      <c r="H670" s="14"/>
      <c r="Z670" s="2" t="str">
        <f>IF($B670&lt;&gt;"",INDEX(Config!$B$13:$AZ$76,MATCH($B670,Config!$B$13:$B$76,0),26),"")</f>
        <v/>
      </c>
      <c r="BA670" s="2" t="str">
        <f t="shared" si="24"/>
        <v/>
      </c>
    </row>
    <row r="671" spans="1:53" x14ac:dyDescent="0.15">
      <c r="A671" s="26" t="str">
        <f t="shared" si="23"/>
        <v/>
      </c>
      <c r="B671" s="14"/>
      <c r="C671" s="28" t="str">
        <f>IF(TRIM($B671)&lt;&gt;"",INDEX(Config!$B$13:$L$76,MATCH($B671,Config!$B$13:$B$76,0),2),"")</f>
        <v/>
      </c>
      <c r="D671" s="74"/>
      <c r="E671" s="14"/>
      <c r="F671" s="14"/>
      <c r="G671" s="14"/>
      <c r="H671" s="14"/>
      <c r="Z671" s="2" t="str">
        <f>IF($B671&lt;&gt;"",INDEX(Config!$B$13:$AZ$76,MATCH($B671,Config!$B$13:$B$76,0),26),"")</f>
        <v/>
      </c>
      <c r="BA671" s="2" t="str">
        <f t="shared" si="24"/>
        <v/>
      </c>
    </row>
    <row r="672" spans="1:53" x14ac:dyDescent="0.15">
      <c r="A672" s="26" t="str">
        <f t="shared" si="23"/>
        <v/>
      </c>
      <c r="B672" s="14"/>
      <c r="C672" s="28" t="str">
        <f>IF(TRIM($B672)&lt;&gt;"",INDEX(Config!$B$13:$L$76,MATCH($B672,Config!$B$13:$B$76,0),2),"")</f>
        <v/>
      </c>
      <c r="D672" s="74"/>
      <c r="E672" s="14"/>
      <c r="F672" s="14"/>
      <c r="G672" s="14"/>
      <c r="H672" s="14"/>
      <c r="Z672" s="2" t="str">
        <f>IF($B672&lt;&gt;"",INDEX(Config!$B$13:$AZ$76,MATCH($B672,Config!$B$13:$B$76,0),26),"")</f>
        <v/>
      </c>
      <c r="BA672" s="2" t="str">
        <f t="shared" si="24"/>
        <v/>
      </c>
    </row>
    <row r="673" spans="1:53" x14ac:dyDescent="0.15">
      <c r="A673" s="26" t="str">
        <f t="shared" si="23"/>
        <v/>
      </c>
      <c r="B673" s="14"/>
      <c r="C673" s="28" t="str">
        <f>IF(TRIM($B673)&lt;&gt;"",INDEX(Config!$B$13:$L$76,MATCH($B673,Config!$B$13:$B$76,0),2),"")</f>
        <v/>
      </c>
      <c r="D673" s="74"/>
      <c r="E673" s="14"/>
      <c r="F673" s="14"/>
      <c r="G673" s="14"/>
      <c r="H673" s="14"/>
      <c r="Z673" s="2" t="str">
        <f>IF($B673&lt;&gt;"",INDEX(Config!$B$13:$AZ$76,MATCH($B673,Config!$B$13:$B$76,0),26),"")</f>
        <v/>
      </c>
      <c r="BA673" s="2" t="str">
        <f t="shared" si="24"/>
        <v/>
      </c>
    </row>
    <row r="674" spans="1:53" x14ac:dyDescent="0.15">
      <c r="A674" s="26" t="str">
        <f t="shared" si="23"/>
        <v/>
      </c>
      <c r="B674" s="14"/>
      <c r="C674" s="28" t="str">
        <f>IF(TRIM($B674)&lt;&gt;"",INDEX(Config!$B$13:$L$76,MATCH($B674,Config!$B$13:$B$76,0),2),"")</f>
        <v/>
      </c>
      <c r="D674" s="74"/>
      <c r="E674" s="14"/>
      <c r="F674" s="14"/>
      <c r="G674" s="14"/>
      <c r="H674" s="14"/>
      <c r="Z674" s="2" t="str">
        <f>IF($B674&lt;&gt;"",INDEX(Config!$B$13:$AZ$76,MATCH($B674,Config!$B$13:$B$76,0),26),"")</f>
        <v/>
      </c>
      <c r="BA674" s="2" t="str">
        <f t="shared" si="24"/>
        <v/>
      </c>
    </row>
    <row r="675" spans="1:53" x14ac:dyDescent="0.15">
      <c r="A675" s="26" t="str">
        <f t="shared" si="23"/>
        <v/>
      </c>
      <c r="B675" s="14"/>
      <c r="C675" s="28" t="str">
        <f>IF(TRIM($B675)&lt;&gt;"",INDEX(Config!$B$13:$L$76,MATCH($B675,Config!$B$13:$B$76,0),2),"")</f>
        <v/>
      </c>
      <c r="D675" s="74"/>
      <c r="E675" s="14"/>
      <c r="F675" s="14"/>
      <c r="G675" s="14"/>
      <c r="H675" s="14"/>
      <c r="Z675" s="2" t="str">
        <f>IF($B675&lt;&gt;"",INDEX(Config!$B$13:$AZ$76,MATCH($B675,Config!$B$13:$B$76,0),26),"")</f>
        <v/>
      </c>
      <c r="BA675" s="2" t="str">
        <f t="shared" si="24"/>
        <v/>
      </c>
    </row>
    <row r="676" spans="1:53" x14ac:dyDescent="0.15">
      <c r="A676" s="26" t="str">
        <f t="shared" si="23"/>
        <v/>
      </c>
      <c r="B676" s="14"/>
      <c r="C676" s="28" t="str">
        <f>IF(TRIM($B676)&lt;&gt;"",INDEX(Config!$B$13:$L$76,MATCH($B676,Config!$B$13:$B$76,0),2),"")</f>
        <v/>
      </c>
      <c r="D676" s="74"/>
      <c r="E676" s="14"/>
      <c r="F676" s="14"/>
      <c r="G676" s="14"/>
      <c r="H676" s="14"/>
      <c r="Z676" s="2" t="str">
        <f>IF($B676&lt;&gt;"",INDEX(Config!$B$13:$AZ$76,MATCH($B676,Config!$B$13:$B$76,0),26),"")</f>
        <v/>
      </c>
      <c r="BA676" s="2" t="str">
        <f t="shared" si="24"/>
        <v/>
      </c>
    </row>
    <row r="677" spans="1:53" x14ac:dyDescent="0.15">
      <c r="A677" s="26" t="str">
        <f t="shared" si="23"/>
        <v/>
      </c>
      <c r="B677" s="14"/>
      <c r="C677" s="28" t="str">
        <f>IF(TRIM($B677)&lt;&gt;"",INDEX(Config!$B$13:$L$76,MATCH($B677,Config!$B$13:$B$76,0),2),"")</f>
        <v/>
      </c>
      <c r="D677" s="74"/>
      <c r="E677" s="14"/>
      <c r="F677" s="14"/>
      <c r="G677" s="14"/>
      <c r="H677" s="14"/>
      <c r="Z677" s="2" t="str">
        <f>IF($B677&lt;&gt;"",INDEX(Config!$B$13:$AZ$76,MATCH($B677,Config!$B$13:$B$76,0),26),"")</f>
        <v/>
      </c>
      <c r="BA677" s="2" t="str">
        <f t="shared" si="24"/>
        <v/>
      </c>
    </row>
    <row r="678" spans="1:53" x14ac:dyDescent="0.15">
      <c r="A678" s="26" t="str">
        <f t="shared" si="23"/>
        <v/>
      </c>
      <c r="B678" s="14"/>
      <c r="C678" s="28" t="str">
        <f>IF(TRIM($B678)&lt;&gt;"",INDEX(Config!$B$13:$L$76,MATCH($B678,Config!$B$13:$B$76,0),2),"")</f>
        <v/>
      </c>
      <c r="D678" s="74"/>
      <c r="E678" s="14"/>
      <c r="F678" s="14"/>
      <c r="G678" s="14"/>
      <c r="H678" s="14"/>
      <c r="Z678" s="2" t="str">
        <f>IF($B678&lt;&gt;"",INDEX(Config!$B$13:$AZ$76,MATCH($B678,Config!$B$13:$B$76,0),26),"")</f>
        <v/>
      </c>
      <c r="BA678" s="2" t="str">
        <f t="shared" si="24"/>
        <v/>
      </c>
    </row>
    <row r="679" spans="1:53" x14ac:dyDescent="0.15">
      <c r="A679" s="26" t="str">
        <f t="shared" si="23"/>
        <v/>
      </c>
      <c r="B679" s="14"/>
      <c r="C679" s="28" t="str">
        <f>IF(TRIM($B679)&lt;&gt;"",INDEX(Config!$B$13:$L$76,MATCH($B679,Config!$B$13:$B$76,0),2),"")</f>
        <v/>
      </c>
      <c r="D679" s="74"/>
      <c r="E679" s="14"/>
      <c r="F679" s="14"/>
      <c r="G679" s="14"/>
      <c r="H679" s="14"/>
      <c r="Z679" s="2" t="str">
        <f>IF($B679&lt;&gt;"",INDEX(Config!$B$13:$AZ$76,MATCH($B679,Config!$B$13:$B$76,0),26),"")</f>
        <v/>
      </c>
      <c r="BA679" s="2" t="str">
        <f t="shared" si="24"/>
        <v/>
      </c>
    </row>
    <row r="680" spans="1:53" x14ac:dyDescent="0.15">
      <c r="A680" s="26" t="str">
        <f t="shared" si="23"/>
        <v/>
      </c>
      <c r="B680" s="14"/>
      <c r="C680" s="28" t="str">
        <f>IF(TRIM($B680)&lt;&gt;"",INDEX(Config!$B$13:$L$76,MATCH($B680,Config!$B$13:$B$76,0),2),"")</f>
        <v/>
      </c>
      <c r="D680" s="74"/>
      <c r="E680" s="14"/>
      <c r="F680" s="14"/>
      <c r="G680" s="14"/>
      <c r="H680" s="14"/>
      <c r="Z680" s="2" t="str">
        <f>IF($B680&lt;&gt;"",INDEX(Config!$B$13:$AZ$76,MATCH($B680,Config!$B$13:$B$76,0),26),"")</f>
        <v/>
      </c>
      <c r="BA680" s="2" t="str">
        <f t="shared" si="24"/>
        <v/>
      </c>
    </row>
    <row r="681" spans="1:53" x14ac:dyDescent="0.15">
      <c r="A681" s="26" t="str">
        <f t="shared" si="23"/>
        <v/>
      </c>
      <c r="B681" s="14"/>
      <c r="C681" s="28" t="str">
        <f>IF(TRIM($B681)&lt;&gt;"",INDEX(Config!$B$13:$L$76,MATCH($B681,Config!$B$13:$B$76,0),2),"")</f>
        <v/>
      </c>
      <c r="D681" s="74"/>
      <c r="E681" s="14"/>
      <c r="F681" s="14"/>
      <c r="G681" s="14"/>
      <c r="H681" s="14"/>
      <c r="Z681" s="2" t="str">
        <f>IF($B681&lt;&gt;"",INDEX(Config!$B$13:$AZ$76,MATCH($B681,Config!$B$13:$B$76,0),26),"")</f>
        <v/>
      </c>
      <c r="BA681" s="2" t="str">
        <f t="shared" si="24"/>
        <v/>
      </c>
    </row>
    <row r="682" spans="1:53" x14ac:dyDescent="0.15">
      <c r="A682" s="26" t="str">
        <f t="shared" si="23"/>
        <v/>
      </c>
      <c r="B682" s="14"/>
      <c r="C682" s="28" t="str">
        <f>IF(TRIM($B682)&lt;&gt;"",INDEX(Config!$B$13:$L$76,MATCH($B682,Config!$B$13:$B$76,0),2),"")</f>
        <v/>
      </c>
      <c r="D682" s="74"/>
      <c r="E682" s="14"/>
      <c r="F682" s="14"/>
      <c r="G682" s="14"/>
      <c r="H682" s="14"/>
      <c r="Z682" s="2" t="str">
        <f>IF($B682&lt;&gt;"",INDEX(Config!$B$13:$AZ$76,MATCH($B682,Config!$B$13:$B$76,0),26),"")</f>
        <v/>
      </c>
      <c r="BA682" s="2" t="str">
        <f t="shared" si="24"/>
        <v/>
      </c>
    </row>
    <row r="683" spans="1:53" x14ac:dyDescent="0.15">
      <c r="A683" s="26" t="str">
        <f t="shared" si="23"/>
        <v/>
      </c>
      <c r="B683" s="14"/>
      <c r="C683" s="28" t="str">
        <f>IF(TRIM($B683)&lt;&gt;"",INDEX(Config!$B$13:$L$76,MATCH($B683,Config!$B$13:$B$76,0),2),"")</f>
        <v/>
      </c>
      <c r="D683" s="74"/>
      <c r="E683" s="14"/>
      <c r="F683" s="14"/>
      <c r="G683" s="14"/>
      <c r="H683" s="14"/>
      <c r="Z683" s="2" t="str">
        <f>IF($B683&lt;&gt;"",INDEX(Config!$B$13:$AZ$76,MATCH($B683,Config!$B$13:$B$76,0),26),"")</f>
        <v/>
      </c>
      <c r="BA683" s="2" t="str">
        <f t="shared" si="24"/>
        <v/>
      </c>
    </row>
    <row r="684" spans="1:53" x14ac:dyDescent="0.15">
      <c r="A684" s="26" t="str">
        <f t="shared" si="23"/>
        <v/>
      </c>
      <c r="B684" s="14"/>
      <c r="C684" s="28" t="str">
        <f>IF(TRIM($B684)&lt;&gt;"",INDEX(Config!$B$13:$L$76,MATCH($B684,Config!$B$13:$B$76,0),2),"")</f>
        <v/>
      </c>
      <c r="D684" s="74"/>
      <c r="E684" s="14"/>
      <c r="F684" s="14"/>
      <c r="G684" s="14"/>
      <c r="H684" s="14"/>
      <c r="Z684" s="2" t="str">
        <f>IF($B684&lt;&gt;"",INDEX(Config!$B$13:$AZ$76,MATCH($B684,Config!$B$13:$B$76,0),26),"")</f>
        <v/>
      </c>
      <c r="BA684" s="2" t="str">
        <f t="shared" si="24"/>
        <v/>
      </c>
    </row>
    <row r="685" spans="1:53" x14ac:dyDescent="0.15">
      <c r="A685" s="26" t="str">
        <f t="shared" si="23"/>
        <v/>
      </c>
      <c r="B685" s="14"/>
      <c r="C685" s="28" t="str">
        <f>IF(TRIM($B685)&lt;&gt;"",INDEX(Config!$B$13:$L$76,MATCH($B685,Config!$B$13:$B$76,0),2),"")</f>
        <v/>
      </c>
      <c r="D685" s="74"/>
      <c r="E685" s="14"/>
      <c r="F685" s="14"/>
      <c r="G685" s="14"/>
      <c r="H685" s="14"/>
      <c r="Z685" s="2" t="str">
        <f>IF($B685&lt;&gt;"",INDEX(Config!$B$13:$AZ$76,MATCH($B685,Config!$B$13:$B$76,0),26),"")</f>
        <v/>
      </c>
      <c r="BA685" s="2" t="str">
        <f t="shared" si="24"/>
        <v/>
      </c>
    </row>
    <row r="686" spans="1:53" x14ac:dyDescent="0.15">
      <c r="A686" s="26" t="str">
        <f t="shared" si="23"/>
        <v/>
      </c>
      <c r="B686" s="14"/>
      <c r="C686" s="28" t="str">
        <f>IF(TRIM($B686)&lt;&gt;"",INDEX(Config!$B$13:$L$76,MATCH($B686,Config!$B$13:$B$76,0),2),"")</f>
        <v/>
      </c>
      <c r="D686" s="74"/>
      <c r="E686" s="14"/>
      <c r="F686" s="14"/>
      <c r="G686" s="14"/>
      <c r="H686" s="14"/>
      <c r="Z686" s="2" t="str">
        <f>IF($B686&lt;&gt;"",INDEX(Config!$B$13:$AZ$76,MATCH($B686,Config!$B$13:$B$76,0),26),"")</f>
        <v/>
      </c>
      <c r="BA686" s="2" t="str">
        <f t="shared" si="24"/>
        <v/>
      </c>
    </row>
    <row r="687" spans="1:53" x14ac:dyDescent="0.15">
      <c r="A687" s="26" t="str">
        <f t="shared" si="23"/>
        <v/>
      </c>
      <c r="B687" s="14"/>
      <c r="C687" s="28" t="str">
        <f>IF(TRIM($B687)&lt;&gt;"",INDEX(Config!$B$13:$L$76,MATCH($B687,Config!$B$13:$B$76,0),2),"")</f>
        <v/>
      </c>
      <c r="D687" s="74"/>
      <c r="E687" s="14"/>
      <c r="F687" s="14"/>
      <c r="G687" s="14"/>
      <c r="H687" s="14"/>
      <c r="Z687" s="2" t="str">
        <f>IF($B687&lt;&gt;"",INDEX(Config!$B$13:$AZ$76,MATCH($B687,Config!$B$13:$B$76,0),26),"")</f>
        <v/>
      </c>
      <c r="BA687" s="2" t="str">
        <f t="shared" si="24"/>
        <v/>
      </c>
    </row>
    <row r="688" spans="1:53" x14ac:dyDescent="0.15">
      <c r="A688" s="26" t="str">
        <f t="shared" si="23"/>
        <v/>
      </c>
      <c r="B688" s="14"/>
      <c r="C688" s="28" t="str">
        <f>IF(TRIM($B688)&lt;&gt;"",INDEX(Config!$B$13:$L$76,MATCH($B688,Config!$B$13:$B$76,0),2),"")</f>
        <v/>
      </c>
      <c r="D688" s="74"/>
      <c r="E688" s="14"/>
      <c r="F688" s="14"/>
      <c r="G688" s="14"/>
      <c r="H688" s="14"/>
      <c r="Z688" s="2" t="str">
        <f>IF($B688&lt;&gt;"",INDEX(Config!$B$13:$AZ$76,MATCH($B688,Config!$B$13:$B$76,0),26),"")</f>
        <v/>
      </c>
      <c r="BA688" s="2" t="str">
        <f t="shared" si="24"/>
        <v/>
      </c>
    </row>
    <row r="689" spans="1:53" x14ac:dyDescent="0.15">
      <c r="A689" s="26" t="str">
        <f t="shared" si="23"/>
        <v/>
      </c>
      <c r="B689" s="14"/>
      <c r="C689" s="28" t="str">
        <f>IF(TRIM($B689)&lt;&gt;"",INDEX(Config!$B$13:$L$76,MATCH($B689,Config!$B$13:$B$76,0),2),"")</f>
        <v/>
      </c>
      <c r="D689" s="74"/>
      <c r="E689" s="14"/>
      <c r="F689" s="14"/>
      <c r="G689" s="14"/>
      <c r="H689" s="14"/>
      <c r="Z689" s="2" t="str">
        <f>IF($B689&lt;&gt;"",INDEX(Config!$B$13:$AZ$76,MATCH($B689,Config!$B$13:$B$76,0),26),"")</f>
        <v/>
      </c>
      <c r="BA689" s="2" t="str">
        <f t="shared" si="24"/>
        <v/>
      </c>
    </row>
    <row r="690" spans="1:53" x14ac:dyDescent="0.15">
      <c r="A690" s="26" t="str">
        <f t="shared" si="23"/>
        <v/>
      </c>
      <c r="B690" s="14"/>
      <c r="C690" s="28" t="str">
        <f>IF(TRIM($B690)&lt;&gt;"",INDEX(Config!$B$13:$L$76,MATCH($B690,Config!$B$13:$B$76,0),2),"")</f>
        <v/>
      </c>
      <c r="D690" s="74"/>
      <c r="E690" s="14"/>
      <c r="F690" s="14"/>
      <c r="G690" s="14"/>
      <c r="H690" s="14"/>
      <c r="Z690" s="2" t="str">
        <f>IF($B690&lt;&gt;"",INDEX(Config!$B$13:$AZ$76,MATCH($B690,Config!$B$13:$B$76,0),26),"")</f>
        <v/>
      </c>
      <c r="BA690" s="2" t="str">
        <f t="shared" si="24"/>
        <v/>
      </c>
    </row>
    <row r="691" spans="1:53" x14ac:dyDescent="0.15">
      <c r="A691" s="26" t="str">
        <f t="shared" si="23"/>
        <v/>
      </c>
      <c r="B691" s="14"/>
      <c r="C691" s="28" t="str">
        <f>IF(TRIM($B691)&lt;&gt;"",INDEX(Config!$B$13:$L$76,MATCH($B691,Config!$B$13:$B$76,0),2),"")</f>
        <v/>
      </c>
      <c r="D691" s="74"/>
      <c r="E691" s="14"/>
      <c r="F691" s="14"/>
      <c r="G691" s="14"/>
      <c r="H691" s="14"/>
      <c r="Z691" s="2" t="str">
        <f>IF($B691&lt;&gt;"",INDEX(Config!$B$13:$AZ$76,MATCH($B691,Config!$B$13:$B$76,0),26),"")</f>
        <v/>
      </c>
      <c r="BA691" s="2" t="str">
        <f t="shared" si="24"/>
        <v/>
      </c>
    </row>
    <row r="692" spans="1:53" x14ac:dyDescent="0.15">
      <c r="A692" s="26" t="str">
        <f t="shared" si="23"/>
        <v/>
      </c>
      <c r="B692" s="14"/>
      <c r="C692" s="28" t="str">
        <f>IF(TRIM($B692)&lt;&gt;"",INDEX(Config!$B$13:$L$76,MATCH($B692,Config!$B$13:$B$76,0),2),"")</f>
        <v/>
      </c>
      <c r="D692" s="74"/>
      <c r="E692" s="14"/>
      <c r="F692" s="14"/>
      <c r="G692" s="14"/>
      <c r="H692" s="14"/>
      <c r="Z692" s="2" t="str">
        <f>IF($B692&lt;&gt;"",INDEX(Config!$B$13:$AZ$76,MATCH($B692,Config!$B$13:$B$76,0),26),"")</f>
        <v/>
      </c>
      <c r="BA692" s="2" t="str">
        <f t="shared" si="24"/>
        <v/>
      </c>
    </row>
    <row r="693" spans="1:53" x14ac:dyDescent="0.15">
      <c r="A693" s="26" t="str">
        <f t="shared" si="23"/>
        <v/>
      </c>
      <c r="B693" s="14"/>
      <c r="C693" s="28" t="str">
        <f>IF(TRIM($B693)&lt;&gt;"",INDEX(Config!$B$13:$L$76,MATCH($B693,Config!$B$13:$B$76,0),2),"")</f>
        <v/>
      </c>
      <c r="D693" s="74"/>
      <c r="E693" s="14"/>
      <c r="F693" s="14"/>
      <c r="G693" s="14"/>
      <c r="H693" s="14"/>
      <c r="Z693" s="2" t="str">
        <f>IF($B693&lt;&gt;"",INDEX(Config!$B$13:$AZ$76,MATCH($B693,Config!$B$13:$B$76,0),26),"")</f>
        <v/>
      </c>
      <c r="BA693" s="2" t="str">
        <f t="shared" si="24"/>
        <v/>
      </c>
    </row>
    <row r="694" spans="1:53" x14ac:dyDescent="0.15">
      <c r="A694" s="26" t="str">
        <f t="shared" si="23"/>
        <v/>
      </c>
      <c r="B694" s="14"/>
      <c r="C694" s="28" t="str">
        <f>IF(TRIM($B694)&lt;&gt;"",INDEX(Config!$B$13:$L$76,MATCH($B694,Config!$B$13:$B$76,0),2),"")</f>
        <v/>
      </c>
      <c r="D694" s="74"/>
      <c r="E694" s="14"/>
      <c r="F694" s="14"/>
      <c r="G694" s="14"/>
      <c r="H694" s="14"/>
      <c r="Z694" s="2" t="str">
        <f>IF($B694&lt;&gt;"",INDEX(Config!$B$13:$AZ$76,MATCH($B694,Config!$B$13:$B$76,0),26),"")</f>
        <v/>
      </c>
      <c r="BA694" s="2" t="str">
        <f t="shared" si="24"/>
        <v/>
      </c>
    </row>
    <row r="695" spans="1:53" x14ac:dyDescent="0.15">
      <c r="A695" s="26" t="str">
        <f t="shared" si="23"/>
        <v/>
      </c>
      <c r="B695" s="14"/>
      <c r="C695" s="28" t="str">
        <f>IF(TRIM($B695)&lt;&gt;"",INDEX(Config!$B$13:$L$76,MATCH($B695,Config!$B$13:$B$76,0),2),"")</f>
        <v/>
      </c>
      <c r="D695" s="74"/>
      <c r="E695" s="14"/>
      <c r="F695" s="14"/>
      <c r="G695" s="14"/>
      <c r="H695" s="14"/>
      <c r="Z695" s="2" t="str">
        <f>IF($B695&lt;&gt;"",INDEX(Config!$B$13:$AZ$76,MATCH($B695,Config!$B$13:$B$76,0),26),"")</f>
        <v/>
      </c>
      <c r="BA695" s="2" t="str">
        <f t="shared" si="24"/>
        <v/>
      </c>
    </row>
    <row r="696" spans="1:53" x14ac:dyDescent="0.15">
      <c r="A696" s="26" t="str">
        <f t="shared" si="23"/>
        <v/>
      </c>
      <c r="B696" s="14"/>
      <c r="C696" s="28" t="str">
        <f>IF(TRIM($B696)&lt;&gt;"",INDEX(Config!$B$13:$L$76,MATCH($B696,Config!$B$13:$B$76,0),2),"")</f>
        <v/>
      </c>
      <c r="D696" s="74"/>
      <c r="E696" s="14"/>
      <c r="F696" s="14"/>
      <c r="G696" s="14"/>
      <c r="H696" s="14"/>
      <c r="Z696" s="2" t="str">
        <f>IF($B696&lt;&gt;"",INDEX(Config!$B$13:$AZ$76,MATCH($B696,Config!$B$13:$B$76,0),26),"")</f>
        <v/>
      </c>
      <c r="BA696" s="2" t="str">
        <f t="shared" si="24"/>
        <v/>
      </c>
    </row>
    <row r="697" spans="1:53" x14ac:dyDescent="0.15">
      <c r="A697" s="26" t="str">
        <f t="shared" si="23"/>
        <v/>
      </c>
      <c r="B697" s="14"/>
      <c r="C697" s="28" t="str">
        <f>IF(TRIM($B697)&lt;&gt;"",INDEX(Config!$B$13:$L$76,MATCH($B697,Config!$B$13:$B$76,0),2),"")</f>
        <v/>
      </c>
      <c r="D697" s="74"/>
      <c r="E697" s="14"/>
      <c r="F697" s="14"/>
      <c r="G697" s="14"/>
      <c r="H697" s="14"/>
      <c r="Z697" s="2" t="str">
        <f>IF($B697&lt;&gt;"",INDEX(Config!$B$13:$AZ$76,MATCH($B697,Config!$B$13:$B$76,0),26),"")</f>
        <v/>
      </c>
      <c r="BA697" s="2" t="str">
        <f t="shared" si="24"/>
        <v/>
      </c>
    </row>
    <row r="698" spans="1:53" x14ac:dyDescent="0.15">
      <c r="A698" s="26" t="str">
        <f t="shared" si="23"/>
        <v/>
      </c>
      <c r="B698" s="14"/>
      <c r="C698" s="28" t="str">
        <f>IF(TRIM($B698)&lt;&gt;"",INDEX(Config!$B$13:$L$76,MATCH($B698,Config!$B$13:$B$76,0),2),"")</f>
        <v/>
      </c>
      <c r="D698" s="74"/>
      <c r="E698" s="14"/>
      <c r="F698" s="14"/>
      <c r="G698" s="14"/>
      <c r="H698" s="14"/>
      <c r="Z698" s="2" t="str">
        <f>IF($B698&lt;&gt;"",INDEX(Config!$B$13:$AZ$76,MATCH($B698,Config!$B$13:$B$76,0),26),"")</f>
        <v/>
      </c>
      <c r="BA698" s="2" t="str">
        <f t="shared" si="24"/>
        <v/>
      </c>
    </row>
    <row r="699" spans="1:53" x14ac:dyDescent="0.15">
      <c r="A699" s="26" t="str">
        <f t="shared" si="23"/>
        <v/>
      </c>
      <c r="B699" s="14"/>
      <c r="C699" s="28" t="str">
        <f>IF(TRIM($B699)&lt;&gt;"",INDEX(Config!$B$13:$L$76,MATCH($B699,Config!$B$13:$B$76,0),2),"")</f>
        <v/>
      </c>
      <c r="D699" s="74"/>
      <c r="E699" s="14"/>
      <c r="F699" s="14"/>
      <c r="G699" s="14"/>
      <c r="H699" s="14"/>
      <c r="Z699" s="2" t="str">
        <f>IF($B699&lt;&gt;"",INDEX(Config!$B$13:$AZ$76,MATCH($B699,Config!$B$13:$B$76,0),26),"")</f>
        <v/>
      </c>
      <c r="BA699" s="2" t="str">
        <f t="shared" si="24"/>
        <v/>
      </c>
    </row>
    <row r="700" spans="1:53" x14ac:dyDescent="0.15">
      <c r="A700" s="26" t="str">
        <f t="shared" si="23"/>
        <v/>
      </c>
      <c r="B700" s="14"/>
      <c r="C700" s="28" t="str">
        <f>IF(TRIM($B700)&lt;&gt;"",INDEX(Config!$B$13:$L$76,MATCH($B700,Config!$B$13:$B$76,0),2),"")</f>
        <v/>
      </c>
      <c r="D700" s="74"/>
      <c r="E700" s="14"/>
      <c r="F700" s="14"/>
      <c r="G700" s="14"/>
      <c r="H700" s="14"/>
      <c r="Z700" s="2" t="str">
        <f>IF($B700&lt;&gt;"",INDEX(Config!$B$13:$AZ$76,MATCH($B700,Config!$B$13:$B$76,0),26),"")</f>
        <v/>
      </c>
      <c r="BA700" s="2" t="str">
        <f t="shared" si="24"/>
        <v/>
      </c>
    </row>
    <row r="701" spans="1:53" x14ac:dyDescent="0.15">
      <c r="A701" s="26" t="str">
        <f t="shared" si="23"/>
        <v/>
      </c>
      <c r="B701" s="14"/>
      <c r="C701" s="28" t="str">
        <f>IF(TRIM($B701)&lt;&gt;"",INDEX(Config!$B$13:$L$76,MATCH($B701,Config!$B$13:$B$76,0),2),"")</f>
        <v/>
      </c>
      <c r="D701" s="74"/>
      <c r="E701" s="14"/>
      <c r="F701" s="14"/>
      <c r="G701" s="14"/>
      <c r="H701" s="14"/>
      <c r="Z701" s="2" t="str">
        <f>IF($B701&lt;&gt;"",INDEX(Config!$B$13:$AZ$76,MATCH($B701,Config!$B$13:$B$76,0),26),"")</f>
        <v/>
      </c>
      <c r="BA701" s="2" t="str">
        <f t="shared" si="24"/>
        <v/>
      </c>
    </row>
    <row r="702" spans="1:53" x14ac:dyDescent="0.15">
      <c r="A702" s="26" t="str">
        <f t="shared" si="23"/>
        <v/>
      </c>
      <c r="B702" s="14"/>
      <c r="C702" s="28" t="str">
        <f>IF(TRIM($B702)&lt;&gt;"",INDEX(Config!$B$13:$L$76,MATCH($B702,Config!$B$13:$B$76,0),2),"")</f>
        <v/>
      </c>
      <c r="D702" s="74"/>
      <c r="E702" s="14"/>
      <c r="F702" s="14"/>
      <c r="G702" s="14"/>
      <c r="H702" s="14"/>
      <c r="Z702" s="2" t="str">
        <f>IF($B702&lt;&gt;"",INDEX(Config!$B$13:$AZ$76,MATCH($B702,Config!$B$13:$B$76,0),26),"")</f>
        <v/>
      </c>
      <c r="BA702" s="2" t="str">
        <f t="shared" si="24"/>
        <v/>
      </c>
    </row>
    <row r="703" spans="1:53" x14ac:dyDescent="0.15">
      <c r="A703" s="26" t="str">
        <f t="shared" si="23"/>
        <v/>
      </c>
      <c r="B703" s="14"/>
      <c r="C703" s="28" t="str">
        <f>IF(TRIM($B703)&lt;&gt;"",INDEX(Config!$B$13:$L$76,MATCH($B703,Config!$B$13:$B$76,0),2),"")</f>
        <v/>
      </c>
      <c r="D703" s="74"/>
      <c r="E703" s="14"/>
      <c r="F703" s="14"/>
      <c r="G703" s="14"/>
      <c r="H703" s="14"/>
      <c r="Z703" s="2" t="str">
        <f>IF($B703&lt;&gt;"",INDEX(Config!$B$13:$AZ$76,MATCH($B703,Config!$B$13:$B$76,0),26),"")</f>
        <v/>
      </c>
      <c r="BA703" s="2" t="str">
        <f t="shared" si="24"/>
        <v/>
      </c>
    </row>
    <row r="704" spans="1:53" x14ac:dyDescent="0.15">
      <c r="A704" s="26" t="str">
        <f t="shared" si="23"/>
        <v/>
      </c>
      <c r="B704" s="14"/>
      <c r="C704" s="28" t="str">
        <f>IF(TRIM($B704)&lt;&gt;"",INDEX(Config!$B$13:$L$76,MATCH($B704,Config!$B$13:$B$76,0),2),"")</f>
        <v/>
      </c>
      <c r="D704" s="74"/>
      <c r="E704" s="14"/>
      <c r="F704" s="14"/>
      <c r="G704" s="14"/>
      <c r="H704" s="14"/>
      <c r="Z704" s="2" t="str">
        <f>IF($B704&lt;&gt;"",INDEX(Config!$B$13:$AZ$76,MATCH($B704,Config!$B$13:$B$76,0),26),"")</f>
        <v/>
      </c>
      <c r="BA704" s="2" t="str">
        <f t="shared" si="24"/>
        <v/>
      </c>
    </row>
    <row r="705" spans="1:53" x14ac:dyDescent="0.15">
      <c r="A705" s="26" t="str">
        <f t="shared" si="23"/>
        <v/>
      </c>
      <c r="B705" s="14"/>
      <c r="C705" s="28" t="str">
        <f>IF(TRIM($B705)&lt;&gt;"",INDEX(Config!$B$13:$L$76,MATCH($B705,Config!$B$13:$B$76,0),2),"")</f>
        <v/>
      </c>
      <c r="D705" s="74"/>
      <c r="E705" s="14"/>
      <c r="F705" s="14"/>
      <c r="G705" s="14"/>
      <c r="H705" s="14"/>
      <c r="Z705" s="2" t="str">
        <f>IF($B705&lt;&gt;"",INDEX(Config!$B$13:$AZ$76,MATCH($B705,Config!$B$13:$B$76,0),26),"")</f>
        <v/>
      </c>
      <c r="BA705" s="2" t="str">
        <f t="shared" si="24"/>
        <v/>
      </c>
    </row>
    <row r="706" spans="1:53" x14ac:dyDescent="0.15">
      <c r="A706" s="26" t="str">
        <f t="shared" si="23"/>
        <v/>
      </c>
      <c r="B706" s="14"/>
      <c r="C706" s="28" t="str">
        <f>IF(TRIM($B706)&lt;&gt;"",INDEX(Config!$B$13:$L$76,MATCH($B706,Config!$B$13:$B$76,0),2),"")</f>
        <v/>
      </c>
      <c r="D706" s="74"/>
      <c r="E706" s="14"/>
      <c r="F706" s="14"/>
      <c r="G706" s="14"/>
      <c r="H706" s="14"/>
      <c r="Z706" s="2" t="str">
        <f>IF($B706&lt;&gt;"",INDEX(Config!$B$13:$AZ$76,MATCH($B706,Config!$B$13:$B$76,0),26),"")</f>
        <v/>
      </c>
      <c r="BA706" s="2" t="str">
        <f t="shared" si="24"/>
        <v/>
      </c>
    </row>
    <row r="707" spans="1:53" x14ac:dyDescent="0.15">
      <c r="A707" s="26" t="str">
        <f t="shared" si="23"/>
        <v/>
      </c>
      <c r="B707" s="14"/>
      <c r="C707" s="28" t="str">
        <f>IF(TRIM($B707)&lt;&gt;"",INDEX(Config!$B$13:$L$76,MATCH($B707,Config!$B$13:$B$76,0),2),"")</f>
        <v/>
      </c>
      <c r="D707" s="74"/>
      <c r="E707" s="14"/>
      <c r="F707" s="14"/>
      <c r="G707" s="14"/>
      <c r="H707" s="14"/>
      <c r="Z707" s="2" t="str">
        <f>IF($B707&lt;&gt;"",INDEX(Config!$B$13:$AZ$76,MATCH($B707,Config!$B$13:$B$76,0),26),"")</f>
        <v/>
      </c>
      <c r="BA707" s="2" t="str">
        <f t="shared" si="24"/>
        <v/>
      </c>
    </row>
    <row r="708" spans="1:53" x14ac:dyDescent="0.15">
      <c r="A708" s="26" t="str">
        <f t="shared" si="23"/>
        <v/>
      </c>
      <c r="B708" s="14"/>
      <c r="C708" s="28" t="str">
        <f>IF(TRIM($B708)&lt;&gt;"",INDEX(Config!$B$13:$L$76,MATCH($B708,Config!$B$13:$B$76,0),2),"")</f>
        <v/>
      </c>
      <c r="D708" s="74"/>
      <c r="E708" s="14"/>
      <c r="F708" s="14"/>
      <c r="G708" s="14"/>
      <c r="H708" s="14"/>
      <c r="Z708" s="2" t="str">
        <f>IF($B708&lt;&gt;"",INDEX(Config!$B$13:$AZ$76,MATCH($B708,Config!$B$13:$B$76,0),26),"")</f>
        <v/>
      </c>
      <c r="BA708" s="2" t="str">
        <f t="shared" si="24"/>
        <v/>
      </c>
    </row>
    <row r="709" spans="1:53" x14ac:dyDescent="0.15">
      <c r="A709" s="26" t="str">
        <f t="shared" si="23"/>
        <v/>
      </c>
      <c r="B709" s="14"/>
      <c r="C709" s="28" t="str">
        <f>IF(TRIM($B709)&lt;&gt;"",INDEX(Config!$B$13:$L$76,MATCH($B709,Config!$B$13:$B$76,0),2),"")</f>
        <v/>
      </c>
      <c r="D709" s="74"/>
      <c r="E709" s="14"/>
      <c r="F709" s="14"/>
      <c r="G709" s="14"/>
      <c r="H709" s="14"/>
      <c r="Z709" s="2" t="str">
        <f>IF($B709&lt;&gt;"",INDEX(Config!$B$13:$AZ$76,MATCH($B709,Config!$B$13:$B$76,0),26),"")</f>
        <v/>
      </c>
      <c r="BA709" s="2" t="str">
        <f t="shared" si="24"/>
        <v/>
      </c>
    </row>
    <row r="710" spans="1:53" x14ac:dyDescent="0.15">
      <c r="A710" s="26" t="str">
        <f t="shared" si="23"/>
        <v/>
      </c>
      <c r="B710" s="14"/>
      <c r="C710" s="28" t="str">
        <f>IF(TRIM($B710)&lt;&gt;"",INDEX(Config!$B$13:$L$76,MATCH($B710,Config!$B$13:$B$76,0),2),"")</f>
        <v/>
      </c>
      <c r="D710" s="74"/>
      <c r="E710" s="14"/>
      <c r="F710" s="14"/>
      <c r="G710" s="14"/>
      <c r="H710" s="14"/>
      <c r="Z710" s="2" t="str">
        <f>IF($B710&lt;&gt;"",INDEX(Config!$B$13:$AZ$76,MATCH($B710,Config!$B$13:$B$76,0),26),"")</f>
        <v/>
      </c>
      <c r="BA710" s="2" t="str">
        <f t="shared" si="24"/>
        <v/>
      </c>
    </row>
    <row r="711" spans="1:53" x14ac:dyDescent="0.15">
      <c r="A711" s="26" t="str">
        <f t="shared" si="23"/>
        <v/>
      </c>
      <c r="B711" s="14"/>
      <c r="C711" s="28" t="str">
        <f>IF(TRIM($B711)&lt;&gt;"",INDEX(Config!$B$13:$L$76,MATCH($B711,Config!$B$13:$B$76,0),2),"")</f>
        <v/>
      </c>
      <c r="D711" s="74"/>
      <c r="E711" s="14"/>
      <c r="F711" s="14"/>
      <c r="G711" s="14"/>
      <c r="H711" s="14"/>
      <c r="Z711" s="2" t="str">
        <f>IF($B711&lt;&gt;"",INDEX(Config!$B$13:$AZ$76,MATCH($B711,Config!$B$13:$B$76,0),26),"")</f>
        <v/>
      </c>
      <c r="BA711" s="2" t="str">
        <f t="shared" si="24"/>
        <v/>
      </c>
    </row>
    <row r="712" spans="1:53" x14ac:dyDescent="0.15">
      <c r="A712" s="26" t="str">
        <f t="shared" ref="A712:A775" si="25">IF(B712&lt;&gt;"","#"&amp;ROW()-1,"")</f>
        <v/>
      </c>
      <c r="B712" s="14"/>
      <c r="C712" s="28" t="str">
        <f>IF(TRIM($B712)&lt;&gt;"",INDEX(Config!$B$13:$L$76,MATCH($B712,Config!$B$13:$B$76,0),2),"")</f>
        <v/>
      </c>
      <c r="D712" s="74"/>
      <c r="E712" s="14"/>
      <c r="F712" s="14"/>
      <c r="G712" s="14"/>
      <c r="H712" s="14"/>
      <c r="Z712" s="2" t="str">
        <f>IF($B712&lt;&gt;"",INDEX(Config!$B$13:$AZ$76,MATCH($B712,Config!$B$13:$B$76,0),26),"")</f>
        <v/>
      </c>
      <c r="BA712" s="2" t="str">
        <f t="shared" ref="BA712:BA775" si="26">IF($B712&lt;&gt;"",ROW()-1,"")</f>
        <v/>
      </c>
    </row>
    <row r="713" spans="1:53" x14ac:dyDescent="0.15">
      <c r="A713" s="26" t="str">
        <f t="shared" si="25"/>
        <v/>
      </c>
      <c r="B713" s="14"/>
      <c r="C713" s="28" t="str">
        <f>IF(TRIM($B713)&lt;&gt;"",INDEX(Config!$B$13:$L$76,MATCH($B713,Config!$B$13:$B$76,0),2),"")</f>
        <v/>
      </c>
      <c r="D713" s="74"/>
      <c r="E713" s="14"/>
      <c r="F713" s="14"/>
      <c r="G713" s="14"/>
      <c r="H713" s="14"/>
      <c r="Z713" s="2" t="str">
        <f>IF($B713&lt;&gt;"",INDEX(Config!$B$13:$AZ$76,MATCH($B713,Config!$B$13:$B$76,0),26),"")</f>
        <v/>
      </c>
      <c r="BA713" s="2" t="str">
        <f t="shared" si="26"/>
        <v/>
      </c>
    </row>
    <row r="714" spans="1:53" x14ac:dyDescent="0.15">
      <c r="A714" s="26" t="str">
        <f t="shared" si="25"/>
        <v/>
      </c>
      <c r="B714" s="14"/>
      <c r="C714" s="28" t="str">
        <f>IF(TRIM($B714)&lt;&gt;"",INDEX(Config!$B$13:$L$76,MATCH($B714,Config!$B$13:$B$76,0),2),"")</f>
        <v/>
      </c>
      <c r="D714" s="74"/>
      <c r="E714" s="14"/>
      <c r="F714" s="14"/>
      <c r="G714" s="14"/>
      <c r="H714" s="14"/>
      <c r="Z714" s="2" t="str">
        <f>IF($B714&lt;&gt;"",INDEX(Config!$B$13:$AZ$76,MATCH($B714,Config!$B$13:$B$76,0),26),"")</f>
        <v/>
      </c>
      <c r="BA714" s="2" t="str">
        <f t="shared" si="26"/>
        <v/>
      </c>
    </row>
    <row r="715" spans="1:53" x14ac:dyDescent="0.15">
      <c r="A715" s="26" t="str">
        <f t="shared" si="25"/>
        <v/>
      </c>
      <c r="B715" s="14"/>
      <c r="C715" s="28" t="str">
        <f>IF(TRIM($B715)&lt;&gt;"",INDEX(Config!$B$13:$L$76,MATCH($B715,Config!$B$13:$B$76,0),2),"")</f>
        <v/>
      </c>
      <c r="D715" s="74"/>
      <c r="E715" s="14"/>
      <c r="F715" s="14"/>
      <c r="G715" s="14"/>
      <c r="H715" s="14"/>
      <c r="Z715" s="2" t="str">
        <f>IF($B715&lt;&gt;"",INDEX(Config!$B$13:$AZ$76,MATCH($B715,Config!$B$13:$B$76,0),26),"")</f>
        <v/>
      </c>
      <c r="BA715" s="2" t="str">
        <f t="shared" si="26"/>
        <v/>
      </c>
    </row>
    <row r="716" spans="1:53" x14ac:dyDescent="0.15">
      <c r="A716" s="26" t="str">
        <f t="shared" si="25"/>
        <v/>
      </c>
      <c r="B716" s="14"/>
      <c r="C716" s="28" t="str">
        <f>IF(TRIM($B716)&lt;&gt;"",INDEX(Config!$B$13:$L$76,MATCH($B716,Config!$B$13:$B$76,0),2),"")</f>
        <v/>
      </c>
      <c r="D716" s="74"/>
      <c r="E716" s="14"/>
      <c r="F716" s="14"/>
      <c r="G716" s="14"/>
      <c r="H716" s="14"/>
      <c r="Z716" s="2" t="str">
        <f>IF($B716&lt;&gt;"",INDEX(Config!$B$13:$AZ$76,MATCH($B716,Config!$B$13:$B$76,0),26),"")</f>
        <v/>
      </c>
      <c r="BA716" s="2" t="str">
        <f t="shared" si="26"/>
        <v/>
      </c>
    </row>
    <row r="717" spans="1:53" x14ac:dyDescent="0.15">
      <c r="A717" s="26" t="str">
        <f t="shared" si="25"/>
        <v/>
      </c>
      <c r="B717" s="14"/>
      <c r="C717" s="28" t="str">
        <f>IF(TRIM($B717)&lt;&gt;"",INDEX(Config!$B$13:$L$76,MATCH($B717,Config!$B$13:$B$76,0),2),"")</f>
        <v/>
      </c>
      <c r="D717" s="74"/>
      <c r="E717" s="14"/>
      <c r="F717" s="14"/>
      <c r="G717" s="14"/>
      <c r="H717" s="14"/>
      <c r="Z717" s="2" t="str">
        <f>IF($B717&lt;&gt;"",INDEX(Config!$B$13:$AZ$76,MATCH($B717,Config!$B$13:$B$76,0),26),"")</f>
        <v/>
      </c>
      <c r="BA717" s="2" t="str">
        <f t="shared" si="26"/>
        <v/>
      </c>
    </row>
    <row r="718" spans="1:53" x14ac:dyDescent="0.15">
      <c r="A718" s="26" t="str">
        <f t="shared" si="25"/>
        <v/>
      </c>
      <c r="B718" s="14"/>
      <c r="C718" s="28" t="str">
        <f>IF(TRIM($B718)&lt;&gt;"",INDEX(Config!$B$13:$L$76,MATCH($B718,Config!$B$13:$B$76,0),2),"")</f>
        <v/>
      </c>
      <c r="D718" s="74"/>
      <c r="E718" s="14"/>
      <c r="F718" s="14"/>
      <c r="G718" s="14"/>
      <c r="H718" s="14"/>
      <c r="Z718" s="2" t="str">
        <f>IF($B718&lt;&gt;"",INDEX(Config!$B$13:$AZ$76,MATCH($B718,Config!$B$13:$B$76,0),26),"")</f>
        <v/>
      </c>
      <c r="BA718" s="2" t="str">
        <f t="shared" si="26"/>
        <v/>
      </c>
    </row>
    <row r="719" spans="1:53" x14ac:dyDescent="0.15">
      <c r="A719" s="26" t="str">
        <f t="shared" si="25"/>
        <v/>
      </c>
      <c r="B719" s="14"/>
      <c r="C719" s="28" t="str">
        <f>IF(TRIM($B719)&lt;&gt;"",INDEX(Config!$B$13:$L$76,MATCH($B719,Config!$B$13:$B$76,0),2),"")</f>
        <v/>
      </c>
      <c r="D719" s="74"/>
      <c r="E719" s="14"/>
      <c r="F719" s="14"/>
      <c r="G719" s="14"/>
      <c r="H719" s="14"/>
      <c r="Z719" s="2" t="str">
        <f>IF($B719&lt;&gt;"",INDEX(Config!$B$13:$AZ$76,MATCH($B719,Config!$B$13:$B$76,0),26),"")</f>
        <v/>
      </c>
      <c r="BA719" s="2" t="str">
        <f t="shared" si="26"/>
        <v/>
      </c>
    </row>
    <row r="720" spans="1:53" x14ac:dyDescent="0.15">
      <c r="A720" s="26" t="str">
        <f t="shared" si="25"/>
        <v/>
      </c>
      <c r="B720" s="14"/>
      <c r="C720" s="28" t="str">
        <f>IF(TRIM($B720)&lt;&gt;"",INDEX(Config!$B$13:$L$76,MATCH($B720,Config!$B$13:$B$76,0),2),"")</f>
        <v/>
      </c>
      <c r="D720" s="74"/>
      <c r="E720" s="14"/>
      <c r="F720" s="14"/>
      <c r="G720" s="14"/>
      <c r="H720" s="14"/>
      <c r="Z720" s="2" t="str">
        <f>IF($B720&lt;&gt;"",INDEX(Config!$B$13:$AZ$76,MATCH($B720,Config!$B$13:$B$76,0),26),"")</f>
        <v/>
      </c>
      <c r="BA720" s="2" t="str">
        <f t="shared" si="26"/>
        <v/>
      </c>
    </row>
    <row r="721" spans="1:53" x14ac:dyDescent="0.15">
      <c r="A721" s="26" t="str">
        <f t="shared" si="25"/>
        <v/>
      </c>
      <c r="B721" s="14"/>
      <c r="C721" s="28" t="str">
        <f>IF(TRIM($B721)&lt;&gt;"",INDEX(Config!$B$13:$L$76,MATCH($B721,Config!$B$13:$B$76,0),2),"")</f>
        <v/>
      </c>
      <c r="D721" s="74"/>
      <c r="E721" s="14"/>
      <c r="F721" s="14"/>
      <c r="G721" s="14"/>
      <c r="H721" s="14"/>
      <c r="Z721" s="2" t="str">
        <f>IF($B721&lt;&gt;"",INDEX(Config!$B$13:$AZ$76,MATCH($B721,Config!$B$13:$B$76,0),26),"")</f>
        <v/>
      </c>
      <c r="BA721" s="2" t="str">
        <f t="shared" si="26"/>
        <v/>
      </c>
    </row>
    <row r="722" spans="1:53" x14ac:dyDescent="0.15">
      <c r="A722" s="26" t="str">
        <f t="shared" si="25"/>
        <v/>
      </c>
      <c r="B722" s="14"/>
      <c r="C722" s="28" t="str">
        <f>IF(TRIM($B722)&lt;&gt;"",INDEX(Config!$B$13:$L$76,MATCH($B722,Config!$B$13:$B$76,0),2),"")</f>
        <v/>
      </c>
      <c r="D722" s="74"/>
      <c r="E722" s="14"/>
      <c r="F722" s="14"/>
      <c r="G722" s="14"/>
      <c r="H722" s="14"/>
      <c r="Z722" s="2" t="str">
        <f>IF($B722&lt;&gt;"",INDEX(Config!$B$13:$AZ$76,MATCH($B722,Config!$B$13:$B$76,0),26),"")</f>
        <v/>
      </c>
      <c r="BA722" s="2" t="str">
        <f t="shared" si="26"/>
        <v/>
      </c>
    </row>
    <row r="723" spans="1:53" x14ac:dyDescent="0.15">
      <c r="A723" s="26" t="str">
        <f t="shared" si="25"/>
        <v/>
      </c>
      <c r="B723" s="14"/>
      <c r="C723" s="28" t="str">
        <f>IF(TRIM($B723)&lt;&gt;"",INDEX(Config!$B$13:$L$76,MATCH($B723,Config!$B$13:$B$76,0),2),"")</f>
        <v/>
      </c>
      <c r="D723" s="74"/>
      <c r="E723" s="14"/>
      <c r="F723" s="14"/>
      <c r="G723" s="14"/>
      <c r="H723" s="14"/>
      <c r="Z723" s="2" t="str">
        <f>IF($B723&lt;&gt;"",INDEX(Config!$B$13:$AZ$76,MATCH($B723,Config!$B$13:$B$76,0),26),"")</f>
        <v/>
      </c>
      <c r="BA723" s="2" t="str">
        <f t="shared" si="26"/>
        <v/>
      </c>
    </row>
    <row r="724" spans="1:53" x14ac:dyDescent="0.15">
      <c r="A724" s="26" t="str">
        <f t="shared" si="25"/>
        <v/>
      </c>
      <c r="B724" s="14"/>
      <c r="C724" s="28" t="str">
        <f>IF(TRIM($B724)&lt;&gt;"",INDEX(Config!$B$13:$L$76,MATCH($B724,Config!$B$13:$B$76,0),2),"")</f>
        <v/>
      </c>
      <c r="D724" s="74"/>
      <c r="E724" s="14"/>
      <c r="F724" s="14"/>
      <c r="G724" s="14"/>
      <c r="H724" s="14"/>
      <c r="Z724" s="2" t="str">
        <f>IF($B724&lt;&gt;"",INDEX(Config!$B$13:$AZ$76,MATCH($B724,Config!$B$13:$B$76,0),26),"")</f>
        <v/>
      </c>
      <c r="BA724" s="2" t="str">
        <f t="shared" si="26"/>
        <v/>
      </c>
    </row>
    <row r="725" spans="1:53" x14ac:dyDescent="0.15">
      <c r="A725" s="26" t="str">
        <f t="shared" si="25"/>
        <v/>
      </c>
      <c r="B725" s="14"/>
      <c r="C725" s="28" t="str">
        <f>IF(TRIM($B725)&lt;&gt;"",INDEX(Config!$B$13:$L$76,MATCH($B725,Config!$B$13:$B$76,0),2),"")</f>
        <v/>
      </c>
      <c r="D725" s="74"/>
      <c r="E725" s="14"/>
      <c r="F725" s="14"/>
      <c r="G725" s="14"/>
      <c r="H725" s="14"/>
      <c r="Z725" s="2" t="str">
        <f>IF($B725&lt;&gt;"",INDEX(Config!$B$13:$AZ$76,MATCH($B725,Config!$B$13:$B$76,0),26),"")</f>
        <v/>
      </c>
      <c r="BA725" s="2" t="str">
        <f t="shared" si="26"/>
        <v/>
      </c>
    </row>
    <row r="726" spans="1:53" x14ac:dyDescent="0.15">
      <c r="A726" s="26" t="str">
        <f t="shared" si="25"/>
        <v/>
      </c>
      <c r="B726" s="14"/>
      <c r="C726" s="28" t="str">
        <f>IF(TRIM($B726)&lt;&gt;"",INDEX(Config!$B$13:$L$76,MATCH($B726,Config!$B$13:$B$76,0),2),"")</f>
        <v/>
      </c>
      <c r="D726" s="74"/>
      <c r="E726" s="14"/>
      <c r="F726" s="14"/>
      <c r="G726" s="14"/>
      <c r="H726" s="14"/>
      <c r="Z726" s="2" t="str">
        <f>IF($B726&lt;&gt;"",INDEX(Config!$B$13:$AZ$76,MATCH($B726,Config!$B$13:$B$76,0),26),"")</f>
        <v/>
      </c>
      <c r="BA726" s="2" t="str">
        <f t="shared" si="26"/>
        <v/>
      </c>
    </row>
    <row r="727" spans="1:53" x14ac:dyDescent="0.15">
      <c r="A727" s="26" t="str">
        <f t="shared" si="25"/>
        <v/>
      </c>
      <c r="B727" s="14"/>
      <c r="C727" s="28" t="str">
        <f>IF(TRIM($B727)&lt;&gt;"",INDEX(Config!$B$13:$L$76,MATCH($B727,Config!$B$13:$B$76,0),2),"")</f>
        <v/>
      </c>
      <c r="D727" s="74"/>
      <c r="E727" s="14"/>
      <c r="F727" s="14"/>
      <c r="G727" s="14"/>
      <c r="H727" s="14"/>
      <c r="Z727" s="2" t="str">
        <f>IF($B727&lt;&gt;"",INDEX(Config!$B$13:$AZ$76,MATCH($B727,Config!$B$13:$B$76,0),26),"")</f>
        <v/>
      </c>
      <c r="BA727" s="2" t="str">
        <f t="shared" si="26"/>
        <v/>
      </c>
    </row>
    <row r="728" spans="1:53" x14ac:dyDescent="0.15">
      <c r="A728" s="26" t="str">
        <f t="shared" si="25"/>
        <v/>
      </c>
      <c r="B728" s="14"/>
      <c r="C728" s="28" t="str">
        <f>IF(TRIM($B728)&lt;&gt;"",INDEX(Config!$B$13:$L$76,MATCH($B728,Config!$B$13:$B$76,0),2),"")</f>
        <v/>
      </c>
      <c r="D728" s="74"/>
      <c r="E728" s="14"/>
      <c r="F728" s="14"/>
      <c r="G728" s="14"/>
      <c r="H728" s="14"/>
      <c r="Z728" s="2" t="str">
        <f>IF($B728&lt;&gt;"",INDEX(Config!$B$13:$AZ$76,MATCH($B728,Config!$B$13:$B$76,0),26),"")</f>
        <v/>
      </c>
      <c r="BA728" s="2" t="str">
        <f t="shared" si="26"/>
        <v/>
      </c>
    </row>
    <row r="729" spans="1:53" x14ac:dyDescent="0.15">
      <c r="A729" s="26" t="str">
        <f t="shared" si="25"/>
        <v/>
      </c>
      <c r="B729" s="14"/>
      <c r="C729" s="28" t="str">
        <f>IF(TRIM($B729)&lt;&gt;"",INDEX(Config!$B$13:$L$76,MATCH($B729,Config!$B$13:$B$76,0),2),"")</f>
        <v/>
      </c>
      <c r="D729" s="74"/>
      <c r="E729" s="14"/>
      <c r="F729" s="14"/>
      <c r="G729" s="14"/>
      <c r="H729" s="14"/>
      <c r="Z729" s="2" t="str">
        <f>IF($B729&lt;&gt;"",INDEX(Config!$B$13:$AZ$76,MATCH($B729,Config!$B$13:$B$76,0),26),"")</f>
        <v/>
      </c>
      <c r="BA729" s="2" t="str">
        <f t="shared" si="26"/>
        <v/>
      </c>
    </row>
    <row r="730" spans="1:53" x14ac:dyDescent="0.15">
      <c r="A730" s="26" t="str">
        <f t="shared" si="25"/>
        <v/>
      </c>
      <c r="B730" s="14"/>
      <c r="C730" s="28" t="str">
        <f>IF(TRIM($B730)&lt;&gt;"",INDEX(Config!$B$13:$L$76,MATCH($B730,Config!$B$13:$B$76,0),2),"")</f>
        <v/>
      </c>
      <c r="D730" s="74"/>
      <c r="E730" s="14"/>
      <c r="F730" s="14"/>
      <c r="G730" s="14"/>
      <c r="H730" s="14"/>
      <c r="Z730" s="2" t="str">
        <f>IF($B730&lt;&gt;"",INDEX(Config!$B$13:$AZ$76,MATCH($B730,Config!$B$13:$B$76,0),26),"")</f>
        <v/>
      </c>
      <c r="BA730" s="2" t="str">
        <f t="shared" si="26"/>
        <v/>
      </c>
    </row>
    <row r="731" spans="1:53" x14ac:dyDescent="0.15">
      <c r="A731" s="26" t="str">
        <f t="shared" si="25"/>
        <v/>
      </c>
      <c r="B731" s="14"/>
      <c r="C731" s="28" t="str">
        <f>IF(TRIM($B731)&lt;&gt;"",INDEX(Config!$B$13:$L$76,MATCH($B731,Config!$B$13:$B$76,0),2),"")</f>
        <v/>
      </c>
      <c r="D731" s="74"/>
      <c r="E731" s="14"/>
      <c r="F731" s="14"/>
      <c r="G731" s="14"/>
      <c r="H731" s="14"/>
      <c r="Z731" s="2" t="str">
        <f>IF($B731&lt;&gt;"",INDEX(Config!$B$13:$AZ$76,MATCH($B731,Config!$B$13:$B$76,0),26),"")</f>
        <v/>
      </c>
      <c r="BA731" s="2" t="str">
        <f t="shared" si="26"/>
        <v/>
      </c>
    </row>
    <row r="732" spans="1:53" x14ac:dyDescent="0.15">
      <c r="A732" s="26" t="str">
        <f t="shared" si="25"/>
        <v/>
      </c>
      <c r="B732" s="14"/>
      <c r="C732" s="28" t="str">
        <f>IF(TRIM($B732)&lt;&gt;"",INDEX(Config!$B$13:$L$76,MATCH($B732,Config!$B$13:$B$76,0),2),"")</f>
        <v/>
      </c>
      <c r="D732" s="74"/>
      <c r="E732" s="14"/>
      <c r="F732" s="14"/>
      <c r="G732" s="14"/>
      <c r="H732" s="14"/>
      <c r="Z732" s="2" t="str">
        <f>IF($B732&lt;&gt;"",INDEX(Config!$B$13:$AZ$76,MATCH($B732,Config!$B$13:$B$76,0),26),"")</f>
        <v/>
      </c>
      <c r="BA732" s="2" t="str">
        <f t="shared" si="26"/>
        <v/>
      </c>
    </row>
    <row r="733" spans="1:53" x14ac:dyDescent="0.15">
      <c r="A733" s="26" t="str">
        <f t="shared" si="25"/>
        <v/>
      </c>
      <c r="B733" s="14"/>
      <c r="C733" s="28" t="str">
        <f>IF(TRIM($B733)&lt;&gt;"",INDEX(Config!$B$13:$L$76,MATCH($B733,Config!$B$13:$B$76,0),2),"")</f>
        <v/>
      </c>
      <c r="D733" s="74"/>
      <c r="E733" s="14"/>
      <c r="F733" s="14"/>
      <c r="G733" s="14"/>
      <c r="H733" s="14"/>
      <c r="Z733" s="2" t="str">
        <f>IF($B733&lt;&gt;"",INDEX(Config!$B$13:$AZ$76,MATCH($B733,Config!$B$13:$B$76,0),26),"")</f>
        <v/>
      </c>
      <c r="BA733" s="2" t="str">
        <f t="shared" si="26"/>
        <v/>
      </c>
    </row>
    <row r="734" spans="1:53" x14ac:dyDescent="0.15">
      <c r="A734" s="26" t="str">
        <f t="shared" si="25"/>
        <v/>
      </c>
      <c r="B734" s="14"/>
      <c r="C734" s="28" t="str">
        <f>IF(TRIM($B734)&lt;&gt;"",INDEX(Config!$B$13:$L$76,MATCH($B734,Config!$B$13:$B$76,0),2),"")</f>
        <v/>
      </c>
      <c r="D734" s="74"/>
      <c r="E734" s="14"/>
      <c r="F734" s="14"/>
      <c r="G734" s="14"/>
      <c r="H734" s="14"/>
      <c r="Z734" s="2" t="str">
        <f>IF($B734&lt;&gt;"",INDEX(Config!$B$13:$AZ$76,MATCH($B734,Config!$B$13:$B$76,0),26),"")</f>
        <v/>
      </c>
      <c r="BA734" s="2" t="str">
        <f t="shared" si="26"/>
        <v/>
      </c>
    </row>
    <row r="735" spans="1:53" x14ac:dyDescent="0.15">
      <c r="A735" s="26" t="str">
        <f t="shared" si="25"/>
        <v/>
      </c>
      <c r="B735" s="14"/>
      <c r="C735" s="28" t="str">
        <f>IF(TRIM($B735)&lt;&gt;"",INDEX(Config!$B$13:$L$76,MATCH($B735,Config!$B$13:$B$76,0),2),"")</f>
        <v/>
      </c>
      <c r="D735" s="74"/>
      <c r="E735" s="14"/>
      <c r="F735" s="14"/>
      <c r="G735" s="14"/>
      <c r="H735" s="14"/>
      <c r="Z735" s="2" t="str">
        <f>IF($B735&lt;&gt;"",INDEX(Config!$B$13:$AZ$76,MATCH($B735,Config!$B$13:$B$76,0),26),"")</f>
        <v/>
      </c>
      <c r="BA735" s="2" t="str">
        <f t="shared" si="26"/>
        <v/>
      </c>
    </row>
    <row r="736" spans="1:53" x14ac:dyDescent="0.15">
      <c r="A736" s="26" t="str">
        <f t="shared" si="25"/>
        <v/>
      </c>
      <c r="B736" s="14"/>
      <c r="C736" s="28" t="str">
        <f>IF(TRIM($B736)&lt;&gt;"",INDEX(Config!$B$13:$L$76,MATCH($B736,Config!$B$13:$B$76,0),2),"")</f>
        <v/>
      </c>
      <c r="D736" s="74"/>
      <c r="E736" s="14"/>
      <c r="F736" s="14"/>
      <c r="G736" s="14"/>
      <c r="H736" s="14"/>
      <c r="Z736" s="2" t="str">
        <f>IF($B736&lt;&gt;"",INDEX(Config!$B$13:$AZ$76,MATCH($B736,Config!$B$13:$B$76,0),26),"")</f>
        <v/>
      </c>
      <c r="BA736" s="2" t="str">
        <f t="shared" si="26"/>
        <v/>
      </c>
    </row>
    <row r="737" spans="1:53" x14ac:dyDescent="0.15">
      <c r="A737" s="26" t="str">
        <f t="shared" si="25"/>
        <v/>
      </c>
      <c r="B737" s="14"/>
      <c r="C737" s="28" t="str">
        <f>IF(TRIM($B737)&lt;&gt;"",INDEX(Config!$B$13:$L$76,MATCH($B737,Config!$B$13:$B$76,0),2),"")</f>
        <v/>
      </c>
      <c r="D737" s="74"/>
      <c r="E737" s="14"/>
      <c r="F737" s="14"/>
      <c r="G737" s="14"/>
      <c r="H737" s="14"/>
      <c r="Z737" s="2" t="str">
        <f>IF($B737&lt;&gt;"",INDEX(Config!$B$13:$AZ$76,MATCH($B737,Config!$B$13:$B$76,0),26),"")</f>
        <v/>
      </c>
      <c r="BA737" s="2" t="str">
        <f t="shared" si="26"/>
        <v/>
      </c>
    </row>
    <row r="738" spans="1:53" x14ac:dyDescent="0.15">
      <c r="A738" s="26" t="str">
        <f t="shared" si="25"/>
        <v/>
      </c>
      <c r="B738" s="14"/>
      <c r="C738" s="28" t="str">
        <f>IF(TRIM($B738)&lt;&gt;"",INDEX(Config!$B$13:$L$76,MATCH($B738,Config!$B$13:$B$76,0),2),"")</f>
        <v/>
      </c>
      <c r="D738" s="74"/>
      <c r="E738" s="14"/>
      <c r="F738" s="14"/>
      <c r="G738" s="14"/>
      <c r="H738" s="14"/>
      <c r="Z738" s="2" t="str">
        <f>IF($B738&lt;&gt;"",INDEX(Config!$B$13:$AZ$76,MATCH($B738,Config!$B$13:$B$76,0),26),"")</f>
        <v/>
      </c>
      <c r="BA738" s="2" t="str">
        <f t="shared" si="26"/>
        <v/>
      </c>
    </row>
    <row r="739" spans="1:53" x14ac:dyDescent="0.15">
      <c r="A739" s="26" t="str">
        <f t="shared" si="25"/>
        <v/>
      </c>
      <c r="B739" s="14"/>
      <c r="C739" s="28" t="str">
        <f>IF(TRIM($B739)&lt;&gt;"",INDEX(Config!$B$13:$L$76,MATCH($B739,Config!$B$13:$B$76,0),2),"")</f>
        <v/>
      </c>
      <c r="D739" s="74"/>
      <c r="E739" s="14"/>
      <c r="F739" s="14"/>
      <c r="G739" s="14"/>
      <c r="H739" s="14"/>
      <c r="Z739" s="2" t="str">
        <f>IF($B739&lt;&gt;"",INDEX(Config!$B$13:$AZ$76,MATCH($B739,Config!$B$13:$B$76,0),26),"")</f>
        <v/>
      </c>
      <c r="BA739" s="2" t="str">
        <f t="shared" si="26"/>
        <v/>
      </c>
    </row>
    <row r="740" spans="1:53" x14ac:dyDescent="0.15">
      <c r="A740" s="26" t="str">
        <f t="shared" si="25"/>
        <v/>
      </c>
      <c r="B740" s="14"/>
      <c r="C740" s="28" t="str">
        <f>IF(TRIM($B740)&lt;&gt;"",INDEX(Config!$B$13:$L$76,MATCH($B740,Config!$B$13:$B$76,0),2),"")</f>
        <v/>
      </c>
      <c r="D740" s="74"/>
      <c r="E740" s="14"/>
      <c r="F740" s="14"/>
      <c r="G740" s="14"/>
      <c r="H740" s="14"/>
      <c r="Z740" s="2" t="str">
        <f>IF($B740&lt;&gt;"",INDEX(Config!$B$13:$AZ$76,MATCH($B740,Config!$B$13:$B$76,0),26),"")</f>
        <v/>
      </c>
      <c r="BA740" s="2" t="str">
        <f t="shared" si="26"/>
        <v/>
      </c>
    </row>
    <row r="741" spans="1:53" x14ac:dyDescent="0.15">
      <c r="A741" s="26" t="str">
        <f t="shared" si="25"/>
        <v/>
      </c>
      <c r="B741" s="14"/>
      <c r="C741" s="28" t="str">
        <f>IF(TRIM($B741)&lt;&gt;"",INDEX(Config!$B$13:$L$76,MATCH($B741,Config!$B$13:$B$76,0),2),"")</f>
        <v/>
      </c>
      <c r="D741" s="74"/>
      <c r="E741" s="14"/>
      <c r="F741" s="14"/>
      <c r="G741" s="14"/>
      <c r="H741" s="14"/>
      <c r="Z741" s="2" t="str">
        <f>IF($B741&lt;&gt;"",INDEX(Config!$B$13:$AZ$76,MATCH($B741,Config!$B$13:$B$76,0),26),"")</f>
        <v/>
      </c>
      <c r="BA741" s="2" t="str">
        <f t="shared" si="26"/>
        <v/>
      </c>
    </row>
    <row r="742" spans="1:53" x14ac:dyDescent="0.15">
      <c r="A742" s="26" t="str">
        <f t="shared" si="25"/>
        <v/>
      </c>
      <c r="B742" s="14"/>
      <c r="C742" s="28" t="str">
        <f>IF(TRIM($B742)&lt;&gt;"",INDEX(Config!$B$13:$L$76,MATCH($B742,Config!$B$13:$B$76,0),2),"")</f>
        <v/>
      </c>
      <c r="D742" s="74"/>
      <c r="E742" s="14"/>
      <c r="F742" s="14"/>
      <c r="G742" s="14"/>
      <c r="H742" s="14"/>
      <c r="Z742" s="2" t="str">
        <f>IF($B742&lt;&gt;"",INDEX(Config!$B$13:$AZ$76,MATCH($B742,Config!$B$13:$B$76,0),26),"")</f>
        <v/>
      </c>
      <c r="BA742" s="2" t="str">
        <f t="shared" si="26"/>
        <v/>
      </c>
    </row>
    <row r="743" spans="1:53" x14ac:dyDescent="0.15">
      <c r="A743" s="26" t="str">
        <f t="shared" si="25"/>
        <v/>
      </c>
      <c r="B743" s="14"/>
      <c r="C743" s="28" t="str">
        <f>IF(TRIM($B743)&lt;&gt;"",INDEX(Config!$B$13:$L$76,MATCH($B743,Config!$B$13:$B$76,0),2),"")</f>
        <v/>
      </c>
      <c r="D743" s="74"/>
      <c r="E743" s="14"/>
      <c r="F743" s="14"/>
      <c r="G743" s="14"/>
      <c r="H743" s="14"/>
      <c r="Z743" s="2" t="str">
        <f>IF($B743&lt;&gt;"",INDEX(Config!$B$13:$AZ$76,MATCH($B743,Config!$B$13:$B$76,0),26),"")</f>
        <v/>
      </c>
      <c r="BA743" s="2" t="str">
        <f t="shared" si="26"/>
        <v/>
      </c>
    </row>
    <row r="744" spans="1:53" x14ac:dyDescent="0.15">
      <c r="A744" s="26" t="str">
        <f t="shared" si="25"/>
        <v/>
      </c>
      <c r="B744" s="14"/>
      <c r="C744" s="28" t="str">
        <f>IF(TRIM($B744)&lt;&gt;"",INDEX(Config!$B$13:$L$76,MATCH($B744,Config!$B$13:$B$76,0),2),"")</f>
        <v/>
      </c>
      <c r="D744" s="74"/>
      <c r="E744" s="14"/>
      <c r="F744" s="14"/>
      <c r="G744" s="14"/>
      <c r="H744" s="14"/>
      <c r="Z744" s="2" t="str">
        <f>IF($B744&lt;&gt;"",INDEX(Config!$B$13:$AZ$76,MATCH($B744,Config!$B$13:$B$76,0),26),"")</f>
        <v/>
      </c>
      <c r="BA744" s="2" t="str">
        <f t="shared" si="26"/>
        <v/>
      </c>
    </row>
    <row r="745" spans="1:53" x14ac:dyDescent="0.15">
      <c r="A745" s="26" t="str">
        <f t="shared" si="25"/>
        <v/>
      </c>
      <c r="B745" s="14"/>
      <c r="C745" s="28" t="str">
        <f>IF(TRIM($B745)&lt;&gt;"",INDEX(Config!$B$13:$L$76,MATCH($B745,Config!$B$13:$B$76,0),2),"")</f>
        <v/>
      </c>
      <c r="D745" s="74"/>
      <c r="E745" s="14"/>
      <c r="F745" s="14"/>
      <c r="G745" s="14"/>
      <c r="H745" s="14"/>
      <c r="Z745" s="2" t="str">
        <f>IF($B745&lt;&gt;"",INDEX(Config!$B$13:$AZ$76,MATCH($B745,Config!$B$13:$B$76,0),26),"")</f>
        <v/>
      </c>
      <c r="BA745" s="2" t="str">
        <f t="shared" si="26"/>
        <v/>
      </c>
    </row>
    <row r="746" spans="1:53" x14ac:dyDescent="0.15">
      <c r="A746" s="26" t="str">
        <f t="shared" si="25"/>
        <v/>
      </c>
      <c r="B746" s="14"/>
      <c r="C746" s="28" t="str">
        <f>IF(TRIM($B746)&lt;&gt;"",INDEX(Config!$B$13:$L$76,MATCH($B746,Config!$B$13:$B$76,0),2),"")</f>
        <v/>
      </c>
      <c r="D746" s="74"/>
      <c r="E746" s="14"/>
      <c r="F746" s="14"/>
      <c r="G746" s="14"/>
      <c r="H746" s="14"/>
      <c r="Z746" s="2" t="str">
        <f>IF($B746&lt;&gt;"",INDEX(Config!$B$13:$AZ$76,MATCH($B746,Config!$B$13:$B$76,0),26),"")</f>
        <v/>
      </c>
      <c r="BA746" s="2" t="str">
        <f t="shared" si="26"/>
        <v/>
      </c>
    </row>
    <row r="747" spans="1:53" x14ac:dyDescent="0.15">
      <c r="A747" s="26" t="str">
        <f t="shared" si="25"/>
        <v/>
      </c>
      <c r="B747" s="14"/>
      <c r="C747" s="28" t="str">
        <f>IF(TRIM($B747)&lt;&gt;"",INDEX(Config!$B$13:$L$76,MATCH($B747,Config!$B$13:$B$76,0),2),"")</f>
        <v/>
      </c>
      <c r="D747" s="74"/>
      <c r="E747" s="14"/>
      <c r="F747" s="14"/>
      <c r="G747" s="14"/>
      <c r="H747" s="14"/>
      <c r="Z747" s="2" t="str">
        <f>IF($B747&lt;&gt;"",INDEX(Config!$B$13:$AZ$76,MATCH($B747,Config!$B$13:$B$76,0),26),"")</f>
        <v/>
      </c>
      <c r="BA747" s="2" t="str">
        <f t="shared" si="26"/>
        <v/>
      </c>
    </row>
    <row r="748" spans="1:53" x14ac:dyDescent="0.15">
      <c r="A748" s="26" t="str">
        <f t="shared" si="25"/>
        <v/>
      </c>
      <c r="B748" s="14"/>
      <c r="C748" s="28" t="str">
        <f>IF(TRIM($B748)&lt;&gt;"",INDEX(Config!$B$13:$L$76,MATCH($B748,Config!$B$13:$B$76,0),2),"")</f>
        <v/>
      </c>
      <c r="D748" s="74"/>
      <c r="E748" s="14"/>
      <c r="F748" s="14"/>
      <c r="G748" s="14"/>
      <c r="H748" s="14"/>
      <c r="Z748" s="2" t="str">
        <f>IF($B748&lt;&gt;"",INDEX(Config!$B$13:$AZ$76,MATCH($B748,Config!$B$13:$B$76,0),26),"")</f>
        <v/>
      </c>
      <c r="BA748" s="2" t="str">
        <f t="shared" si="26"/>
        <v/>
      </c>
    </row>
    <row r="749" spans="1:53" x14ac:dyDescent="0.15">
      <c r="A749" s="26" t="str">
        <f t="shared" si="25"/>
        <v/>
      </c>
      <c r="B749" s="14"/>
      <c r="C749" s="28" t="str">
        <f>IF(TRIM($B749)&lt;&gt;"",INDEX(Config!$B$13:$L$76,MATCH($B749,Config!$B$13:$B$76,0),2),"")</f>
        <v/>
      </c>
      <c r="D749" s="74"/>
      <c r="E749" s="14"/>
      <c r="F749" s="14"/>
      <c r="G749" s="14"/>
      <c r="H749" s="14"/>
      <c r="Z749" s="2" t="str">
        <f>IF($B749&lt;&gt;"",INDEX(Config!$B$13:$AZ$76,MATCH($B749,Config!$B$13:$B$76,0),26),"")</f>
        <v/>
      </c>
      <c r="BA749" s="2" t="str">
        <f t="shared" si="26"/>
        <v/>
      </c>
    </row>
    <row r="750" spans="1:53" x14ac:dyDescent="0.15">
      <c r="A750" s="26" t="str">
        <f t="shared" si="25"/>
        <v/>
      </c>
      <c r="B750" s="14"/>
      <c r="C750" s="28" t="str">
        <f>IF(TRIM($B750)&lt;&gt;"",INDEX(Config!$B$13:$L$76,MATCH($B750,Config!$B$13:$B$76,0),2),"")</f>
        <v/>
      </c>
      <c r="D750" s="74"/>
      <c r="E750" s="14"/>
      <c r="F750" s="14"/>
      <c r="G750" s="14"/>
      <c r="H750" s="14"/>
      <c r="Z750" s="2" t="str">
        <f>IF($B750&lt;&gt;"",INDEX(Config!$B$13:$AZ$76,MATCH($B750,Config!$B$13:$B$76,0),26),"")</f>
        <v/>
      </c>
      <c r="BA750" s="2" t="str">
        <f t="shared" si="26"/>
        <v/>
      </c>
    </row>
    <row r="751" spans="1:53" x14ac:dyDescent="0.15">
      <c r="A751" s="26" t="str">
        <f t="shared" si="25"/>
        <v/>
      </c>
      <c r="B751" s="14"/>
      <c r="C751" s="28" t="str">
        <f>IF(TRIM($B751)&lt;&gt;"",INDEX(Config!$B$13:$L$76,MATCH($B751,Config!$B$13:$B$76,0),2),"")</f>
        <v/>
      </c>
      <c r="D751" s="74"/>
      <c r="E751" s="14"/>
      <c r="F751" s="14"/>
      <c r="G751" s="14"/>
      <c r="H751" s="14"/>
      <c r="Z751" s="2" t="str">
        <f>IF($B751&lt;&gt;"",INDEX(Config!$B$13:$AZ$76,MATCH($B751,Config!$B$13:$B$76,0),26),"")</f>
        <v/>
      </c>
      <c r="BA751" s="2" t="str">
        <f t="shared" si="26"/>
        <v/>
      </c>
    </row>
    <row r="752" spans="1:53" x14ac:dyDescent="0.15">
      <c r="A752" s="26" t="str">
        <f t="shared" si="25"/>
        <v/>
      </c>
      <c r="B752" s="14"/>
      <c r="C752" s="28" t="str">
        <f>IF(TRIM($B752)&lt;&gt;"",INDEX(Config!$B$13:$L$76,MATCH($B752,Config!$B$13:$B$76,0),2),"")</f>
        <v/>
      </c>
      <c r="D752" s="74"/>
      <c r="E752" s="14"/>
      <c r="F752" s="14"/>
      <c r="G752" s="14"/>
      <c r="H752" s="14"/>
      <c r="Z752" s="2" t="str">
        <f>IF($B752&lt;&gt;"",INDEX(Config!$B$13:$AZ$76,MATCH($B752,Config!$B$13:$B$76,0),26),"")</f>
        <v/>
      </c>
      <c r="BA752" s="2" t="str">
        <f t="shared" si="26"/>
        <v/>
      </c>
    </row>
    <row r="753" spans="1:53" x14ac:dyDescent="0.15">
      <c r="A753" s="26" t="str">
        <f t="shared" si="25"/>
        <v/>
      </c>
      <c r="B753" s="14"/>
      <c r="C753" s="28" t="str">
        <f>IF(TRIM($B753)&lt;&gt;"",INDEX(Config!$B$13:$L$76,MATCH($B753,Config!$B$13:$B$76,0),2),"")</f>
        <v/>
      </c>
      <c r="D753" s="74"/>
      <c r="E753" s="14"/>
      <c r="F753" s="14"/>
      <c r="G753" s="14"/>
      <c r="H753" s="14"/>
      <c r="Z753" s="2" t="str">
        <f>IF($B753&lt;&gt;"",INDEX(Config!$B$13:$AZ$76,MATCH($B753,Config!$B$13:$B$76,0),26),"")</f>
        <v/>
      </c>
      <c r="BA753" s="2" t="str">
        <f t="shared" si="26"/>
        <v/>
      </c>
    </row>
    <row r="754" spans="1:53" x14ac:dyDescent="0.15">
      <c r="A754" s="26" t="str">
        <f t="shared" si="25"/>
        <v/>
      </c>
      <c r="B754" s="14"/>
      <c r="C754" s="28" t="str">
        <f>IF(TRIM($B754)&lt;&gt;"",INDEX(Config!$B$13:$L$76,MATCH($B754,Config!$B$13:$B$76,0),2),"")</f>
        <v/>
      </c>
      <c r="D754" s="74"/>
      <c r="E754" s="14"/>
      <c r="F754" s="14"/>
      <c r="G754" s="14"/>
      <c r="H754" s="14"/>
      <c r="Z754" s="2" t="str">
        <f>IF($B754&lt;&gt;"",INDEX(Config!$B$13:$AZ$76,MATCH($B754,Config!$B$13:$B$76,0),26),"")</f>
        <v/>
      </c>
      <c r="BA754" s="2" t="str">
        <f t="shared" si="26"/>
        <v/>
      </c>
    </row>
    <row r="755" spans="1:53" x14ac:dyDescent="0.15">
      <c r="A755" s="26" t="str">
        <f t="shared" si="25"/>
        <v/>
      </c>
      <c r="B755" s="14"/>
      <c r="C755" s="28" t="str">
        <f>IF(TRIM($B755)&lt;&gt;"",INDEX(Config!$B$13:$L$76,MATCH($B755,Config!$B$13:$B$76,0),2),"")</f>
        <v/>
      </c>
      <c r="D755" s="74"/>
      <c r="E755" s="14"/>
      <c r="F755" s="14"/>
      <c r="G755" s="14"/>
      <c r="H755" s="14"/>
      <c r="Z755" s="2" t="str">
        <f>IF($B755&lt;&gt;"",INDEX(Config!$B$13:$AZ$76,MATCH($B755,Config!$B$13:$B$76,0),26),"")</f>
        <v/>
      </c>
      <c r="BA755" s="2" t="str">
        <f t="shared" si="26"/>
        <v/>
      </c>
    </row>
    <row r="756" spans="1:53" x14ac:dyDescent="0.15">
      <c r="A756" s="26" t="str">
        <f t="shared" si="25"/>
        <v/>
      </c>
      <c r="B756" s="14"/>
      <c r="C756" s="28" t="str">
        <f>IF(TRIM($B756)&lt;&gt;"",INDEX(Config!$B$13:$L$76,MATCH($B756,Config!$B$13:$B$76,0),2),"")</f>
        <v/>
      </c>
      <c r="D756" s="74"/>
      <c r="E756" s="14"/>
      <c r="F756" s="14"/>
      <c r="G756" s="14"/>
      <c r="H756" s="14"/>
      <c r="Z756" s="2" t="str">
        <f>IF($B756&lt;&gt;"",INDEX(Config!$B$13:$AZ$76,MATCH($B756,Config!$B$13:$B$76,0),26),"")</f>
        <v/>
      </c>
      <c r="BA756" s="2" t="str">
        <f t="shared" si="26"/>
        <v/>
      </c>
    </row>
    <row r="757" spans="1:53" x14ac:dyDescent="0.15">
      <c r="A757" s="26" t="str">
        <f t="shared" si="25"/>
        <v/>
      </c>
      <c r="B757" s="14"/>
      <c r="C757" s="28" t="str">
        <f>IF(TRIM($B757)&lt;&gt;"",INDEX(Config!$B$13:$L$76,MATCH($B757,Config!$B$13:$B$76,0),2),"")</f>
        <v/>
      </c>
      <c r="D757" s="74"/>
      <c r="E757" s="14"/>
      <c r="F757" s="14"/>
      <c r="G757" s="14"/>
      <c r="H757" s="14"/>
      <c r="Z757" s="2" t="str">
        <f>IF($B757&lt;&gt;"",INDEX(Config!$B$13:$AZ$76,MATCH($B757,Config!$B$13:$B$76,0),26),"")</f>
        <v/>
      </c>
      <c r="BA757" s="2" t="str">
        <f t="shared" si="26"/>
        <v/>
      </c>
    </row>
    <row r="758" spans="1:53" x14ac:dyDescent="0.15">
      <c r="A758" s="26" t="str">
        <f t="shared" si="25"/>
        <v/>
      </c>
      <c r="B758" s="14"/>
      <c r="C758" s="28" t="str">
        <f>IF(TRIM($B758)&lt;&gt;"",INDEX(Config!$B$13:$L$76,MATCH($B758,Config!$B$13:$B$76,0),2),"")</f>
        <v/>
      </c>
      <c r="D758" s="74"/>
      <c r="E758" s="14"/>
      <c r="F758" s="14"/>
      <c r="G758" s="14"/>
      <c r="H758" s="14"/>
      <c r="Z758" s="2" t="str">
        <f>IF($B758&lt;&gt;"",INDEX(Config!$B$13:$AZ$76,MATCH($B758,Config!$B$13:$B$76,0),26),"")</f>
        <v/>
      </c>
      <c r="BA758" s="2" t="str">
        <f t="shared" si="26"/>
        <v/>
      </c>
    </row>
    <row r="759" spans="1:53" x14ac:dyDescent="0.15">
      <c r="A759" s="26" t="str">
        <f t="shared" si="25"/>
        <v/>
      </c>
      <c r="B759" s="14"/>
      <c r="C759" s="28" t="str">
        <f>IF(TRIM($B759)&lt;&gt;"",INDEX(Config!$B$13:$L$76,MATCH($B759,Config!$B$13:$B$76,0),2),"")</f>
        <v/>
      </c>
      <c r="D759" s="74"/>
      <c r="E759" s="14"/>
      <c r="F759" s="14"/>
      <c r="G759" s="14"/>
      <c r="H759" s="14"/>
      <c r="Z759" s="2" t="str">
        <f>IF($B759&lt;&gt;"",INDEX(Config!$B$13:$AZ$76,MATCH($B759,Config!$B$13:$B$76,0),26),"")</f>
        <v/>
      </c>
      <c r="BA759" s="2" t="str">
        <f t="shared" si="26"/>
        <v/>
      </c>
    </row>
    <row r="760" spans="1:53" x14ac:dyDescent="0.15">
      <c r="A760" s="26" t="str">
        <f t="shared" si="25"/>
        <v/>
      </c>
      <c r="B760" s="14"/>
      <c r="C760" s="28" t="str">
        <f>IF(TRIM($B760)&lt;&gt;"",INDEX(Config!$B$13:$L$76,MATCH($B760,Config!$B$13:$B$76,0),2),"")</f>
        <v/>
      </c>
      <c r="D760" s="74"/>
      <c r="E760" s="14"/>
      <c r="F760" s="14"/>
      <c r="G760" s="14"/>
      <c r="H760" s="14"/>
      <c r="Z760" s="2" t="str">
        <f>IF($B760&lt;&gt;"",INDEX(Config!$B$13:$AZ$76,MATCH($B760,Config!$B$13:$B$76,0),26),"")</f>
        <v/>
      </c>
      <c r="BA760" s="2" t="str">
        <f t="shared" si="26"/>
        <v/>
      </c>
    </row>
    <row r="761" spans="1:53" x14ac:dyDescent="0.15">
      <c r="A761" s="26" t="str">
        <f t="shared" si="25"/>
        <v/>
      </c>
      <c r="B761" s="14"/>
      <c r="C761" s="28" t="str">
        <f>IF(TRIM($B761)&lt;&gt;"",INDEX(Config!$B$13:$L$76,MATCH($B761,Config!$B$13:$B$76,0),2),"")</f>
        <v/>
      </c>
      <c r="D761" s="74"/>
      <c r="E761" s="14"/>
      <c r="F761" s="14"/>
      <c r="G761" s="14"/>
      <c r="H761" s="14"/>
      <c r="Z761" s="2" t="str">
        <f>IF($B761&lt;&gt;"",INDEX(Config!$B$13:$AZ$76,MATCH($B761,Config!$B$13:$B$76,0),26),"")</f>
        <v/>
      </c>
      <c r="BA761" s="2" t="str">
        <f t="shared" si="26"/>
        <v/>
      </c>
    </row>
    <row r="762" spans="1:53" x14ac:dyDescent="0.15">
      <c r="A762" s="26" t="str">
        <f t="shared" si="25"/>
        <v/>
      </c>
      <c r="B762" s="14"/>
      <c r="C762" s="28" t="str">
        <f>IF(TRIM($B762)&lt;&gt;"",INDEX(Config!$B$13:$L$76,MATCH($B762,Config!$B$13:$B$76,0),2),"")</f>
        <v/>
      </c>
      <c r="D762" s="74"/>
      <c r="E762" s="14"/>
      <c r="F762" s="14"/>
      <c r="G762" s="14"/>
      <c r="H762" s="14"/>
      <c r="Z762" s="2" t="str">
        <f>IF($B762&lt;&gt;"",INDEX(Config!$B$13:$AZ$76,MATCH($B762,Config!$B$13:$B$76,0),26),"")</f>
        <v/>
      </c>
      <c r="BA762" s="2" t="str">
        <f t="shared" si="26"/>
        <v/>
      </c>
    </row>
    <row r="763" spans="1:53" x14ac:dyDescent="0.15">
      <c r="A763" s="26" t="str">
        <f t="shared" si="25"/>
        <v/>
      </c>
      <c r="B763" s="14"/>
      <c r="C763" s="28" t="str">
        <f>IF(TRIM($B763)&lt;&gt;"",INDEX(Config!$B$13:$L$76,MATCH($B763,Config!$B$13:$B$76,0),2),"")</f>
        <v/>
      </c>
      <c r="D763" s="74"/>
      <c r="E763" s="14"/>
      <c r="F763" s="14"/>
      <c r="G763" s="14"/>
      <c r="H763" s="14"/>
      <c r="Z763" s="2" t="str">
        <f>IF($B763&lt;&gt;"",INDEX(Config!$B$13:$AZ$76,MATCH($B763,Config!$B$13:$B$76,0),26),"")</f>
        <v/>
      </c>
      <c r="BA763" s="2" t="str">
        <f t="shared" si="26"/>
        <v/>
      </c>
    </row>
    <row r="764" spans="1:53" x14ac:dyDescent="0.15">
      <c r="A764" s="26" t="str">
        <f t="shared" si="25"/>
        <v/>
      </c>
      <c r="B764" s="14"/>
      <c r="C764" s="28" t="str">
        <f>IF(TRIM($B764)&lt;&gt;"",INDEX(Config!$B$13:$L$76,MATCH($B764,Config!$B$13:$B$76,0),2),"")</f>
        <v/>
      </c>
      <c r="D764" s="74"/>
      <c r="E764" s="14"/>
      <c r="F764" s="14"/>
      <c r="G764" s="14"/>
      <c r="H764" s="14"/>
      <c r="Z764" s="2" t="str">
        <f>IF($B764&lt;&gt;"",INDEX(Config!$B$13:$AZ$76,MATCH($B764,Config!$B$13:$B$76,0),26),"")</f>
        <v/>
      </c>
      <c r="BA764" s="2" t="str">
        <f t="shared" si="26"/>
        <v/>
      </c>
    </row>
    <row r="765" spans="1:53" x14ac:dyDescent="0.15">
      <c r="A765" s="26" t="str">
        <f t="shared" si="25"/>
        <v/>
      </c>
      <c r="B765" s="14"/>
      <c r="C765" s="28" t="str">
        <f>IF(TRIM($B765)&lt;&gt;"",INDEX(Config!$B$13:$L$76,MATCH($B765,Config!$B$13:$B$76,0),2),"")</f>
        <v/>
      </c>
      <c r="D765" s="74"/>
      <c r="E765" s="14"/>
      <c r="F765" s="14"/>
      <c r="G765" s="14"/>
      <c r="H765" s="14"/>
      <c r="Z765" s="2" t="str">
        <f>IF($B765&lt;&gt;"",INDEX(Config!$B$13:$AZ$76,MATCH($B765,Config!$B$13:$B$76,0),26),"")</f>
        <v/>
      </c>
      <c r="BA765" s="2" t="str">
        <f t="shared" si="26"/>
        <v/>
      </c>
    </row>
    <row r="766" spans="1:53" x14ac:dyDescent="0.15">
      <c r="A766" s="26" t="str">
        <f t="shared" si="25"/>
        <v/>
      </c>
      <c r="B766" s="14"/>
      <c r="C766" s="28" t="str">
        <f>IF(TRIM($B766)&lt;&gt;"",INDEX(Config!$B$13:$L$76,MATCH($B766,Config!$B$13:$B$76,0),2),"")</f>
        <v/>
      </c>
      <c r="D766" s="74"/>
      <c r="E766" s="14"/>
      <c r="F766" s="14"/>
      <c r="G766" s="14"/>
      <c r="H766" s="14"/>
      <c r="Z766" s="2" t="str">
        <f>IF($B766&lt;&gt;"",INDEX(Config!$B$13:$AZ$76,MATCH($B766,Config!$B$13:$B$76,0),26),"")</f>
        <v/>
      </c>
      <c r="BA766" s="2" t="str">
        <f t="shared" si="26"/>
        <v/>
      </c>
    </row>
    <row r="767" spans="1:53" x14ac:dyDescent="0.15">
      <c r="A767" s="26" t="str">
        <f t="shared" si="25"/>
        <v/>
      </c>
      <c r="B767" s="14"/>
      <c r="C767" s="28" t="str">
        <f>IF(TRIM($B767)&lt;&gt;"",INDEX(Config!$B$13:$L$76,MATCH($B767,Config!$B$13:$B$76,0),2),"")</f>
        <v/>
      </c>
      <c r="D767" s="74"/>
      <c r="E767" s="14"/>
      <c r="F767" s="14"/>
      <c r="G767" s="14"/>
      <c r="H767" s="14"/>
      <c r="Z767" s="2" t="str">
        <f>IF($B767&lt;&gt;"",INDEX(Config!$B$13:$AZ$76,MATCH($B767,Config!$B$13:$B$76,0),26),"")</f>
        <v/>
      </c>
      <c r="BA767" s="2" t="str">
        <f t="shared" si="26"/>
        <v/>
      </c>
    </row>
    <row r="768" spans="1:53" x14ac:dyDescent="0.15">
      <c r="A768" s="26" t="str">
        <f t="shared" si="25"/>
        <v/>
      </c>
      <c r="B768" s="14"/>
      <c r="C768" s="28" t="str">
        <f>IF(TRIM($B768)&lt;&gt;"",INDEX(Config!$B$13:$L$76,MATCH($B768,Config!$B$13:$B$76,0),2),"")</f>
        <v/>
      </c>
      <c r="D768" s="74"/>
      <c r="E768" s="14"/>
      <c r="F768" s="14"/>
      <c r="G768" s="14"/>
      <c r="H768" s="14"/>
      <c r="Z768" s="2" t="str">
        <f>IF($B768&lt;&gt;"",INDEX(Config!$B$13:$AZ$76,MATCH($B768,Config!$B$13:$B$76,0),26),"")</f>
        <v/>
      </c>
      <c r="BA768" s="2" t="str">
        <f t="shared" si="26"/>
        <v/>
      </c>
    </row>
    <row r="769" spans="1:53" x14ac:dyDescent="0.15">
      <c r="A769" s="26" t="str">
        <f t="shared" si="25"/>
        <v/>
      </c>
      <c r="B769" s="14"/>
      <c r="C769" s="28" t="str">
        <f>IF(TRIM($B769)&lt;&gt;"",INDEX(Config!$B$13:$L$76,MATCH($B769,Config!$B$13:$B$76,0),2),"")</f>
        <v/>
      </c>
      <c r="D769" s="74"/>
      <c r="E769" s="14"/>
      <c r="F769" s="14"/>
      <c r="G769" s="14"/>
      <c r="H769" s="14"/>
      <c r="Z769" s="2" t="str">
        <f>IF($B769&lt;&gt;"",INDEX(Config!$B$13:$AZ$76,MATCH($B769,Config!$B$13:$B$76,0),26),"")</f>
        <v/>
      </c>
      <c r="BA769" s="2" t="str">
        <f t="shared" si="26"/>
        <v/>
      </c>
    </row>
    <row r="770" spans="1:53" x14ac:dyDescent="0.15">
      <c r="A770" s="26" t="str">
        <f t="shared" si="25"/>
        <v/>
      </c>
      <c r="B770" s="14"/>
      <c r="C770" s="28" t="str">
        <f>IF(TRIM($B770)&lt;&gt;"",INDEX(Config!$B$13:$L$76,MATCH($B770,Config!$B$13:$B$76,0),2),"")</f>
        <v/>
      </c>
      <c r="D770" s="74"/>
      <c r="E770" s="14"/>
      <c r="F770" s="14"/>
      <c r="G770" s="14"/>
      <c r="H770" s="14"/>
      <c r="Z770" s="2" t="str">
        <f>IF($B770&lt;&gt;"",INDEX(Config!$B$13:$AZ$76,MATCH($B770,Config!$B$13:$B$76,0),26),"")</f>
        <v/>
      </c>
      <c r="BA770" s="2" t="str">
        <f t="shared" si="26"/>
        <v/>
      </c>
    </row>
    <row r="771" spans="1:53" x14ac:dyDescent="0.15">
      <c r="A771" s="26" t="str">
        <f t="shared" si="25"/>
        <v/>
      </c>
      <c r="B771" s="14"/>
      <c r="C771" s="28" t="str">
        <f>IF(TRIM($B771)&lt;&gt;"",INDEX(Config!$B$13:$L$76,MATCH($B771,Config!$B$13:$B$76,0),2),"")</f>
        <v/>
      </c>
      <c r="D771" s="74"/>
      <c r="E771" s="14"/>
      <c r="F771" s="14"/>
      <c r="G771" s="14"/>
      <c r="H771" s="14"/>
      <c r="Z771" s="2" t="str">
        <f>IF($B771&lt;&gt;"",INDEX(Config!$B$13:$AZ$76,MATCH($B771,Config!$B$13:$B$76,0),26),"")</f>
        <v/>
      </c>
      <c r="BA771" s="2" t="str">
        <f t="shared" si="26"/>
        <v/>
      </c>
    </row>
    <row r="772" spans="1:53" x14ac:dyDescent="0.15">
      <c r="A772" s="26" t="str">
        <f t="shared" si="25"/>
        <v/>
      </c>
      <c r="B772" s="14"/>
      <c r="C772" s="28" t="str">
        <f>IF(TRIM($B772)&lt;&gt;"",INDEX(Config!$B$13:$L$76,MATCH($B772,Config!$B$13:$B$76,0),2),"")</f>
        <v/>
      </c>
      <c r="D772" s="74"/>
      <c r="E772" s="14"/>
      <c r="F772" s="14"/>
      <c r="G772" s="14"/>
      <c r="H772" s="14"/>
      <c r="Z772" s="2" t="str">
        <f>IF($B772&lt;&gt;"",INDEX(Config!$B$13:$AZ$76,MATCH($B772,Config!$B$13:$B$76,0),26),"")</f>
        <v/>
      </c>
      <c r="BA772" s="2" t="str">
        <f t="shared" si="26"/>
        <v/>
      </c>
    </row>
    <row r="773" spans="1:53" x14ac:dyDescent="0.15">
      <c r="A773" s="26" t="str">
        <f t="shared" si="25"/>
        <v/>
      </c>
      <c r="B773" s="14"/>
      <c r="C773" s="28" t="str">
        <f>IF(TRIM($B773)&lt;&gt;"",INDEX(Config!$B$13:$L$76,MATCH($B773,Config!$B$13:$B$76,0),2),"")</f>
        <v/>
      </c>
      <c r="D773" s="74"/>
      <c r="E773" s="14"/>
      <c r="F773" s="14"/>
      <c r="G773" s="14"/>
      <c r="H773" s="14"/>
      <c r="Z773" s="2" t="str">
        <f>IF($B773&lt;&gt;"",INDEX(Config!$B$13:$AZ$76,MATCH($B773,Config!$B$13:$B$76,0),26),"")</f>
        <v/>
      </c>
      <c r="BA773" s="2" t="str">
        <f t="shared" si="26"/>
        <v/>
      </c>
    </row>
    <row r="774" spans="1:53" x14ac:dyDescent="0.15">
      <c r="A774" s="26" t="str">
        <f t="shared" si="25"/>
        <v/>
      </c>
      <c r="B774" s="14"/>
      <c r="C774" s="28" t="str">
        <f>IF(TRIM($B774)&lt;&gt;"",INDEX(Config!$B$13:$L$76,MATCH($B774,Config!$B$13:$B$76,0),2),"")</f>
        <v/>
      </c>
      <c r="D774" s="74"/>
      <c r="E774" s="14"/>
      <c r="F774" s="14"/>
      <c r="G774" s="14"/>
      <c r="H774" s="14"/>
      <c r="Z774" s="2" t="str">
        <f>IF($B774&lt;&gt;"",INDEX(Config!$B$13:$AZ$76,MATCH($B774,Config!$B$13:$B$76,0),26),"")</f>
        <v/>
      </c>
      <c r="BA774" s="2" t="str">
        <f t="shared" si="26"/>
        <v/>
      </c>
    </row>
    <row r="775" spans="1:53" x14ac:dyDescent="0.15">
      <c r="A775" s="26" t="str">
        <f t="shared" si="25"/>
        <v/>
      </c>
      <c r="B775" s="14"/>
      <c r="C775" s="28" t="str">
        <f>IF(TRIM($B775)&lt;&gt;"",INDEX(Config!$B$13:$L$76,MATCH($B775,Config!$B$13:$B$76,0),2),"")</f>
        <v/>
      </c>
      <c r="D775" s="74"/>
      <c r="E775" s="14"/>
      <c r="F775" s="14"/>
      <c r="G775" s="14"/>
      <c r="H775" s="14"/>
      <c r="Z775" s="2" t="str">
        <f>IF($B775&lt;&gt;"",INDEX(Config!$B$13:$AZ$76,MATCH($B775,Config!$B$13:$B$76,0),26),"")</f>
        <v/>
      </c>
      <c r="BA775" s="2" t="str">
        <f t="shared" si="26"/>
        <v/>
      </c>
    </row>
    <row r="776" spans="1:53" x14ac:dyDescent="0.15">
      <c r="A776" s="26" t="str">
        <f t="shared" ref="A776:A839" si="27">IF(B776&lt;&gt;"","#"&amp;ROW()-1,"")</f>
        <v/>
      </c>
      <c r="B776" s="14"/>
      <c r="C776" s="28" t="str">
        <f>IF(TRIM($B776)&lt;&gt;"",INDEX(Config!$B$13:$L$76,MATCH($B776,Config!$B$13:$B$76,0),2),"")</f>
        <v/>
      </c>
      <c r="D776" s="74"/>
      <c r="E776" s="14"/>
      <c r="F776" s="14"/>
      <c r="G776" s="14"/>
      <c r="H776" s="14"/>
      <c r="Z776" s="2" t="str">
        <f>IF($B776&lt;&gt;"",INDEX(Config!$B$13:$AZ$76,MATCH($B776,Config!$B$13:$B$76,0),26),"")</f>
        <v/>
      </c>
      <c r="BA776" s="2" t="str">
        <f t="shared" ref="BA776:BA839" si="28">IF($B776&lt;&gt;"",ROW()-1,"")</f>
        <v/>
      </c>
    </row>
    <row r="777" spans="1:53" x14ac:dyDescent="0.15">
      <c r="A777" s="26" t="str">
        <f t="shared" si="27"/>
        <v/>
      </c>
      <c r="B777" s="14"/>
      <c r="C777" s="28" t="str">
        <f>IF(TRIM($B777)&lt;&gt;"",INDEX(Config!$B$13:$L$76,MATCH($B777,Config!$B$13:$B$76,0),2),"")</f>
        <v/>
      </c>
      <c r="D777" s="74"/>
      <c r="E777" s="14"/>
      <c r="F777" s="14"/>
      <c r="G777" s="14"/>
      <c r="H777" s="14"/>
      <c r="Z777" s="2" t="str">
        <f>IF($B777&lt;&gt;"",INDEX(Config!$B$13:$AZ$76,MATCH($B777,Config!$B$13:$B$76,0),26),"")</f>
        <v/>
      </c>
      <c r="BA777" s="2" t="str">
        <f t="shared" si="28"/>
        <v/>
      </c>
    </row>
    <row r="778" spans="1:53" x14ac:dyDescent="0.15">
      <c r="A778" s="26" t="str">
        <f t="shared" si="27"/>
        <v/>
      </c>
      <c r="B778" s="14"/>
      <c r="C778" s="28" t="str">
        <f>IF(TRIM($B778)&lt;&gt;"",INDEX(Config!$B$13:$L$76,MATCH($B778,Config!$B$13:$B$76,0),2),"")</f>
        <v/>
      </c>
      <c r="D778" s="74"/>
      <c r="E778" s="14"/>
      <c r="F778" s="14"/>
      <c r="G778" s="14"/>
      <c r="H778" s="14"/>
      <c r="Z778" s="2" t="str">
        <f>IF($B778&lt;&gt;"",INDEX(Config!$B$13:$AZ$76,MATCH($B778,Config!$B$13:$B$76,0),26),"")</f>
        <v/>
      </c>
      <c r="BA778" s="2" t="str">
        <f t="shared" si="28"/>
        <v/>
      </c>
    </row>
    <row r="779" spans="1:53" x14ac:dyDescent="0.15">
      <c r="A779" s="26" t="str">
        <f t="shared" si="27"/>
        <v/>
      </c>
      <c r="B779" s="14"/>
      <c r="C779" s="28" t="str">
        <f>IF(TRIM($B779)&lt;&gt;"",INDEX(Config!$B$13:$L$76,MATCH($B779,Config!$B$13:$B$76,0),2),"")</f>
        <v/>
      </c>
      <c r="D779" s="74"/>
      <c r="E779" s="14"/>
      <c r="F779" s="14"/>
      <c r="G779" s="14"/>
      <c r="H779" s="14"/>
      <c r="Z779" s="2" t="str">
        <f>IF($B779&lt;&gt;"",INDEX(Config!$B$13:$AZ$76,MATCH($B779,Config!$B$13:$B$76,0),26),"")</f>
        <v/>
      </c>
      <c r="BA779" s="2" t="str">
        <f t="shared" si="28"/>
        <v/>
      </c>
    </row>
    <row r="780" spans="1:53" x14ac:dyDescent="0.15">
      <c r="A780" s="26" t="str">
        <f t="shared" si="27"/>
        <v/>
      </c>
      <c r="B780" s="14"/>
      <c r="C780" s="28" t="str">
        <f>IF(TRIM($B780)&lt;&gt;"",INDEX(Config!$B$13:$L$76,MATCH($B780,Config!$B$13:$B$76,0),2),"")</f>
        <v/>
      </c>
      <c r="D780" s="74"/>
      <c r="E780" s="14"/>
      <c r="F780" s="14"/>
      <c r="G780" s="14"/>
      <c r="H780" s="14"/>
      <c r="Z780" s="2" t="str">
        <f>IF($B780&lt;&gt;"",INDEX(Config!$B$13:$AZ$76,MATCH($B780,Config!$B$13:$B$76,0),26),"")</f>
        <v/>
      </c>
      <c r="BA780" s="2" t="str">
        <f t="shared" si="28"/>
        <v/>
      </c>
    </row>
    <row r="781" spans="1:53" x14ac:dyDescent="0.15">
      <c r="A781" s="26" t="str">
        <f t="shared" si="27"/>
        <v/>
      </c>
      <c r="B781" s="14"/>
      <c r="C781" s="28" t="str">
        <f>IF(TRIM($B781)&lt;&gt;"",INDEX(Config!$B$13:$L$76,MATCH($B781,Config!$B$13:$B$76,0),2),"")</f>
        <v/>
      </c>
      <c r="D781" s="74"/>
      <c r="E781" s="14"/>
      <c r="F781" s="14"/>
      <c r="G781" s="14"/>
      <c r="H781" s="14"/>
      <c r="Z781" s="2" t="str">
        <f>IF($B781&lt;&gt;"",INDEX(Config!$B$13:$AZ$76,MATCH($B781,Config!$B$13:$B$76,0),26),"")</f>
        <v/>
      </c>
      <c r="BA781" s="2" t="str">
        <f t="shared" si="28"/>
        <v/>
      </c>
    </row>
    <row r="782" spans="1:53" x14ac:dyDescent="0.15">
      <c r="A782" s="26" t="str">
        <f t="shared" si="27"/>
        <v/>
      </c>
      <c r="B782" s="14"/>
      <c r="C782" s="28" t="str">
        <f>IF(TRIM($B782)&lt;&gt;"",INDEX(Config!$B$13:$L$76,MATCH($B782,Config!$B$13:$B$76,0),2),"")</f>
        <v/>
      </c>
      <c r="D782" s="74"/>
      <c r="E782" s="14"/>
      <c r="F782" s="14"/>
      <c r="G782" s="14"/>
      <c r="H782" s="14"/>
      <c r="Z782" s="2" t="str">
        <f>IF($B782&lt;&gt;"",INDEX(Config!$B$13:$AZ$76,MATCH($B782,Config!$B$13:$B$76,0),26),"")</f>
        <v/>
      </c>
      <c r="BA782" s="2" t="str">
        <f t="shared" si="28"/>
        <v/>
      </c>
    </row>
    <row r="783" spans="1:53" x14ac:dyDescent="0.15">
      <c r="A783" s="26" t="str">
        <f t="shared" si="27"/>
        <v/>
      </c>
      <c r="B783" s="14"/>
      <c r="C783" s="28" t="str">
        <f>IF(TRIM($B783)&lt;&gt;"",INDEX(Config!$B$13:$L$76,MATCH($B783,Config!$B$13:$B$76,0),2),"")</f>
        <v/>
      </c>
      <c r="D783" s="74"/>
      <c r="E783" s="14"/>
      <c r="F783" s="14"/>
      <c r="G783" s="14"/>
      <c r="H783" s="14"/>
      <c r="Z783" s="2" t="str">
        <f>IF($B783&lt;&gt;"",INDEX(Config!$B$13:$AZ$76,MATCH($B783,Config!$B$13:$B$76,0),26),"")</f>
        <v/>
      </c>
      <c r="BA783" s="2" t="str">
        <f t="shared" si="28"/>
        <v/>
      </c>
    </row>
    <row r="784" spans="1:53" x14ac:dyDescent="0.15">
      <c r="A784" s="26" t="str">
        <f t="shared" si="27"/>
        <v/>
      </c>
      <c r="B784" s="14"/>
      <c r="C784" s="28" t="str">
        <f>IF(TRIM($B784)&lt;&gt;"",INDEX(Config!$B$13:$L$76,MATCH($B784,Config!$B$13:$B$76,0),2),"")</f>
        <v/>
      </c>
      <c r="D784" s="74"/>
      <c r="E784" s="14"/>
      <c r="F784" s="14"/>
      <c r="G784" s="14"/>
      <c r="H784" s="14"/>
      <c r="Z784" s="2" t="str">
        <f>IF($B784&lt;&gt;"",INDEX(Config!$B$13:$AZ$76,MATCH($B784,Config!$B$13:$B$76,0),26),"")</f>
        <v/>
      </c>
      <c r="BA784" s="2" t="str">
        <f t="shared" si="28"/>
        <v/>
      </c>
    </row>
    <row r="785" spans="1:53" x14ac:dyDescent="0.15">
      <c r="A785" s="26" t="str">
        <f t="shared" si="27"/>
        <v/>
      </c>
      <c r="B785" s="14"/>
      <c r="C785" s="28" t="str">
        <f>IF(TRIM($B785)&lt;&gt;"",INDEX(Config!$B$13:$L$76,MATCH($B785,Config!$B$13:$B$76,0),2),"")</f>
        <v/>
      </c>
      <c r="D785" s="74"/>
      <c r="E785" s="14"/>
      <c r="F785" s="14"/>
      <c r="G785" s="14"/>
      <c r="H785" s="14"/>
      <c r="Z785" s="2" t="str">
        <f>IF($B785&lt;&gt;"",INDEX(Config!$B$13:$AZ$76,MATCH($B785,Config!$B$13:$B$76,0),26),"")</f>
        <v/>
      </c>
      <c r="BA785" s="2" t="str">
        <f t="shared" si="28"/>
        <v/>
      </c>
    </row>
    <row r="786" spans="1:53" x14ac:dyDescent="0.15">
      <c r="A786" s="26" t="str">
        <f t="shared" si="27"/>
        <v/>
      </c>
      <c r="B786" s="14"/>
      <c r="C786" s="28" t="str">
        <f>IF(TRIM($B786)&lt;&gt;"",INDEX(Config!$B$13:$L$76,MATCH($B786,Config!$B$13:$B$76,0),2),"")</f>
        <v/>
      </c>
      <c r="D786" s="74"/>
      <c r="E786" s="14"/>
      <c r="F786" s="14"/>
      <c r="G786" s="14"/>
      <c r="H786" s="14"/>
      <c r="Z786" s="2" t="str">
        <f>IF($B786&lt;&gt;"",INDEX(Config!$B$13:$AZ$76,MATCH($B786,Config!$B$13:$B$76,0),26),"")</f>
        <v/>
      </c>
      <c r="BA786" s="2" t="str">
        <f t="shared" si="28"/>
        <v/>
      </c>
    </row>
    <row r="787" spans="1:53" x14ac:dyDescent="0.15">
      <c r="A787" s="26" t="str">
        <f t="shared" si="27"/>
        <v/>
      </c>
      <c r="B787" s="14"/>
      <c r="C787" s="28" t="str">
        <f>IF(TRIM($B787)&lt;&gt;"",INDEX(Config!$B$13:$L$76,MATCH($B787,Config!$B$13:$B$76,0),2),"")</f>
        <v/>
      </c>
      <c r="D787" s="74"/>
      <c r="E787" s="14"/>
      <c r="F787" s="14"/>
      <c r="G787" s="14"/>
      <c r="H787" s="14"/>
      <c r="Z787" s="2" t="str">
        <f>IF($B787&lt;&gt;"",INDEX(Config!$B$13:$AZ$76,MATCH($B787,Config!$B$13:$B$76,0),26),"")</f>
        <v/>
      </c>
      <c r="BA787" s="2" t="str">
        <f t="shared" si="28"/>
        <v/>
      </c>
    </row>
    <row r="788" spans="1:53" x14ac:dyDescent="0.15">
      <c r="A788" s="26" t="str">
        <f t="shared" si="27"/>
        <v/>
      </c>
      <c r="B788" s="14"/>
      <c r="C788" s="28" t="str">
        <f>IF(TRIM($B788)&lt;&gt;"",INDEX(Config!$B$13:$L$76,MATCH($B788,Config!$B$13:$B$76,0),2),"")</f>
        <v/>
      </c>
      <c r="D788" s="74"/>
      <c r="E788" s="14"/>
      <c r="F788" s="14"/>
      <c r="G788" s="14"/>
      <c r="H788" s="14"/>
      <c r="Z788" s="2" t="str">
        <f>IF($B788&lt;&gt;"",INDEX(Config!$B$13:$AZ$76,MATCH($B788,Config!$B$13:$B$76,0),26),"")</f>
        <v/>
      </c>
      <c r="BA788" s="2" t="str">
        <f t="shared" si="28"/>
        <v/>
      </c>
    </row>
    <row r="789" spans="1:53" x14ac:dyDescent="0.15">
      <c r="A789" s="26" t="str">
        <f t="shared" si="27"/>
        <v/>
      </c>
      <c r="B789" s="14"/>
      <c r="C789" s="28" t="str">
        <f>IF(TRIM($B789)&lt;&gt;"",INDEX(Config!$B$13:$L$76,MATCH($B789,Config!$B$13:$B$76,0),2),"")</f>
        <v/>
      </c>
      <c r="D789" s="74"/>
      <c r="E789" s="14"/>
      <c r="F789" s="14"/>
      <c r="G789" s="14"/>
      <c r="H789" s="14"/>
      <c r="Z789" s="2" t="str">
        <f>IF($B789&lt;&gt;"",INDEX(Config!$B$13:$AZ$76,MATCH($B789,Config!$B$13:$B$76,0),26),"")</f>
        <v/>
      </c>
      <c r="BA789" s="2" t="str">
        <f t="shared" si="28"/>
        <v/>
      </c>
    </row>
    <row r="790" spans="1:53" x14ac:dyDescent="0.15">
      <c r="A790" s="26" t="str">
        <f t="shared" si="27"/>
        <v/>
      </c>
      <c r="B790" s="14"/>
      <c r="C790" s="28" t="str">
        <f>IF(TRIM($B790)&lt;&gt;"",INDEX(Config!$B$13:$L$76,MATCH($B790,Config!$B$13:$B$76,0),2),"")</f>
        <v/>
      </c>
      <c r="D790" s="74"/>
      <c r="E790" s="14"/>
      <c r="F790" s="14"/>
      <c r="G790" s="14"/>
      <c r="H790" s="14"/>
      <c r="Z790" s="2" t="str">
        <f>IF($B790&lt;&gt;"",INDEX(Config!$B$13:$AZ$76,MATCH($B790,Config!$B$13:$B$76,0),26),"")</f>
        <v/>
      </c>
      <c r="BA790" s="2" t="str">
        <f t="shared" si="28"/>
        <v/>
      </c>
    </row>
    <row r="791" spans="1:53" x14ac:dyDescent="0.15">
      <c r="A791" s="26" t="str">
        <f t="shared" si="27"/>
        <v/>
      </c>
      <c r="B791" s="14"/>
      <c r="C791" s="28" t="str">
        <f>IF(TRIM($B791)&lt;&gt;"",INDEX(Config!$B$13:$L$76,MATCH($B791,Config!$B$13:$B$76,0),2),"")</f>
        <v/>
      </c>
      <c r="D791" s="74"/>
      <c r="E791" s="14"/>
      <c r="F791" s="14"/>
      <c r="G791" s="14"/>
      <c r="H791" s="14"/>
      <c r="Z791" s="2" t="str">
        <f>IF($B791&lt;&gt;"",INDEX(Config!$B$13:$AZ$76,MATCH($B791,Config!$B$13:$B$76,0),26),"")</f>
        <v/>
      </c>
      <c r="BA791" s="2" t="str">
        <f t="shared" si="28"/>
        <v/>
      </c>
    </row>
    <row r="792" spans="1:53" x14ac:dyDescent="0.15">
      <c r="A792" s="26" t="str">
        <f t="shared" si="27"/>
        <v/>
      </c>
      <c r="B792" s="14"/>
      <c r="C792" s="28" t="str">
        <f>IF(TRIM($B792)&lt;&gt;"",INDEX(Config!$B$13:$L$76,MATCH($B792,Config!$B$13:$B$76,0),2),"")</f>
        <v/>
      </c>
      <c r="D792" s="74"/>
      <c r="E792" s="14"/>
      <c r="F792" s="14"/>
      <c r="G792" s="14"/>
      <c r="H792" s="14"/>
      <c r="Z792" s="2" t="str">
        <f>IF($B792&lt;&gt;"",INDEX(Config!$B$13:$AZ$76,MATCH($B792,Config!$B$13:$B$76,0),26),"")</f>
        <v/>
      </c>
      <c r="BA792" s="2" t="str">
        <f t="shared" si="28"/>
        <v/>
      </c>
    </row>
    <row r="793" spans="1:53" x14ac:dyDescent="0.15">
      <c r="A793" s="26" t="str">
        <f t="shared" si="27"/>
        <v/>
      </c>
      <c r="B793" s="14"/>
      <c r="C793" s="28" t="str">
        <f>IF(TRIM($B793)&lt;&gt;"",INDEX(Config!$B$13:$L$76,MATCH($B793,Config!$B$13:$B$76,0),2),"")</f>
        <v/>
      </c>
      <c r="D793" s="74"/>
      <c r="E793" s="14"/>
      <c r="F793" s="14"/>
      <c r="G793" s="14"/>
      <c r="H793" s="14"/>
      <c r="Z793" s="2" t="str">
        <f>IF($B793&lt;&gt;"",INDEX(Config!$B$13:$AZ$76,MATCH($B793,Config!$B$13:$B$76,0),26),"")</f>
        <v/>
      </c>
      <c r="BA793" s="2" t="str">
        <f t="shared" si="28"/>
        <v/>
      </c>
    </row>
    <row r="794" spans="1:53" x14ac:dyDescent="0.15">
      <c r="A794" s="26" t="str">
        <f t="shared" si="27"/>
        <v/>
      </c>
      <c r="B794" s="14"/>
      <c r="C794" s="28" t="str">
        <f>IF(TRIM($B794)&lt;&gt;"",INDEX(Config!$B$13:$L$76,MATCH($B794,Config!$B$13:$B$76,0),2),"")</f>
        <v/>
      </c>
      <c r="D794" s="74"/>
      <c r="E794" s="14"/>
      <c r="F794" s="14"/>
      <c r="G794" s="14"/>
      <c r="H794" s="14"/>
      <c r="Z794" s="2" t="str">
        <f>IF($B794&lt;&gt;"",INDEX(Config!$B$13:$AZ$76,MATCH($B794,Config!$B$13:$B$76,0),26),"")</f>
        <v/>
      </c>
      <c r="BA794" s="2" t="str">
        <f t="shared" si="28"/>
        <v/>
      </c>
    </row>
    <row r="795" spans="1:53" x14ac:dyDescent="0.15">
      <c r="A795" s="26" t="str">
        <f t="shared" si="27"/>
        <v/>
      </c>
      <c r="B795" s="14"/>
      <c r="C795" s="28" t="str">
        <f>IF(TRIM($B795)&lt;&gt;"",INDEX(Config!$B$13:$L$76,MATCH($B795,Config!$B$13:$B$76,0),2),"")</f>
        <v/>
      </c>
      <c r="D795" s="74"/>
      <c r="E795" s="14"/>
      <c r="F795" s="14"/>
      <c r="G795" s="14"/>
      <c r="H795" s="14"/>
      <c r="Z795" s="2" t="str">
        <f>IF($B795&lt;&gt;"",INDEX(Config!$B$13:$AZ$76,MATCH($B795,Config!$B$13:$B$76,0),26),"")</f>
        <v/>
      </c>
      <c r="BA795" s="2" t="str">
        <f t="shared" si="28"/>
        <v/>
      </c>
    </row>
    <row r="796" spans="1:53" x14ac:dyDescent="0.15">
      <c r="A796" s="26" t="str">
        <f t="shared" si="27"/>
        <v/>
      </c>
      <c r="B796" s="14"/>
      <c r="C796" s="28" t="str">
        <f>IF(TRIM($B796)&lt;&gt;"",INDEX(Config!$B$13:$L$76,MATCH($B796,Config!$B$13:$B$76,0),2),"")</f>
        <v/>
      </c>
      <c r="D796" s="74"/>
      <c r="E796" s="14"/>
      <c r="F796" s="14"/>
      <c r="G796" s="14"/>
      <c r="H796" s="14"/>
      <c r="Z796" s="2" t="str">
        <f>IF($B796&lt;&gt;"",INDEX(Config!$B$13:$AZ$76,MATCH($B796,Config!$B$13:$B$76,0),26),"")</f>
        <v/>
      </c>
      <c r="BA796" s="2" t="str">
        <f t="shared" si="28"/>
        <v/>
      </c>
    </row>
    <row r="797" spans="1:53" x14ac:dyDescent="0.15">
      <c r="A797" s="26" t="str">
        <f t="shared" si="27"/>
        <v/>
      </c>
      <c r="B797" s="14"/>
      <c r="C797" s="28" t="str">
        <f>IF(TRIM($B797)&lt;&gt;"",INDEX(Config!$B$13:$L$76,MATCH($B797,Config!$B$13:$B$76,0),2),"")</f>
        <v/>
      </c>
      <c r="D797" s="74"/>
      <c r="E797" s="14"/>
      <c r="F797" s="14"/>
      <c r="G797" s="14"/>
      <c r="H797" s="14"/>
      <c r="Z797" s="2" t="str">
        <f>IF($B797&lt;&gt;"",INDEX(Config!$B$13:$AZ$76,MATCH($B797,Config!$B$13:$B$76,0),26),"")</f>
        <v/>
      </c>
      <c r="BA797" s="2" t="str">
        <f t="shared" si="28"/>
        <v/>
      </c>
    </row>
    <row r="798" spans="1:53" x14ac:dyDescent="0.15">
      <c r="A798" s="26" t="str">
        <f t="shared" si="27"/>
        <v/>
      </c>
      <c r="B798" s="14"/>
      <c r="C798" s="28" t="str">
        <f>IF(TRIM($B798)&lt;&gt;"",INDEX(Config!$B$13:$L$76,MATCH($B798,Config!$B$13:$B$76,0),2),"")</f>
        <v/>
      </c>
      <c r="D798" s="74"/>
      <c r="E798" s="14"/>
      <c r="F798" s="14"/>
      <c r="G798" s="14"/>
      <c r="H798" s="14"/>
      <c r="Z798" s="2" t="str">
        <f>IF($B798&lt;&gt;"",INDEX(Config!$B$13:$AZ$76,MATCH($B798,Config!$B$13:$B$76,0),26),"")</f>
        <v/>
      </c>
      <c r="BA798" s="2" t="str">
        <f t="shared" si="28"/>
        <v/>
      </c>
    </row>
    <row r="799" spans="1:53" x14ac:dyDescent="0.15">
      <c r="A799" s="26" t="str">
        <f t="shared" si="27"/>
        <v/>
      </c>
      <c r="B799" s="14"/>
      <c r="C799" s="28" t="str">
        <f>IF(TRIM($B799)&lt;&gt;"",INDEX(Config!$B$13:$L$76,MATCH($B799,Config!$B$13:$B$76,0),2),"")</f>
        <v/>
      </c>
      <c r="D799" s="74"/>
      <c r="E799" s="14"/>
      <c r="F799" s="14"/>
      <c r="G799" s="14"/>
      <c r="H799" s="14"/>
      <c r="Z799" s="2" t="str">
        <f>IF($B799&lt;&gt;"",INDEX(Config!$B$13:$AZ$76,MATCH($B799,Config!$B$13:$B$76,0),26),"")</f>
        <v/>
      </c>
      <c r="BA799" s="2" t="str">
        <f t="shared" si="28"/>
        <v/>
      </c>
    </row>
    <row r="800" spans="1:53" x14ac:dyDescent="0.15">
      <c r="A800" s="26" t="str">
        <f t="shared" si="27"/>
        <v/>
      </c>
      <c r="B800" s="14"/>
      <c r="C800" s="28" t="str">
        <f>IF(TRIM($B800)&lt;&gt;"",INDEX(Config!$B$13:$L$76,MATCH($B800,Config!$B$13:$B$76,0),2),"")</f>
        <v/>
      </c>
      <c r="D800" s="74"/>
      <c r="E800" s="14"/>
      <c r="F800" s="14"/>
      <c r="G800" s="14"/>
      <c r="H800" s="14"/>
      <c r="Z800" s="2" t="str">
        <f>IF($B800&lt;&gt;"",INDEX(Config!$B$13:$AZ$76,MATCH($B800,Config!$B$13:$B$76,0),26),"")</f>
        <v/>
      </c>
      <c r="BA800" s="2" t="str">
        <f t="shared" si="28"/>
        <v/>
      </c>
    </row>
    <row r="801" spans="1:53" x14ac:dyDescent="0.15">
      <c r="A801" s="26" t="str">
        <f t="shared" si="27"/>
        <v/>
      </c>
      <c r="B801" s="14"/>
      <c r="C801" s="28" t="str">
        <f>IF(TRIM($B801)&lt;&gt;"",INDEX(Config!$B$13:$L$76,MATCH($B801,Config!$B$13:$B$76,0),2),"")</f>
        <v/>
      </c>
      <c r="D801" s="74"/>
      <c r="E801" s="14"/>
      <c r="F801" s="14"/>
      <c r="G801" s="14"/>
      <c r="H801" s="14"/>
      <c r="Z801" s="2" t="str">
        <f>IF($B801&lt;&gt;"",INDEX(Config!$B$13:$AZ$76,MATCH($B801,Config!$B$13:$B$76,0),26),"")</f>
        <v/>
      </c>
      <c r="BA801" s="2" t="str">
        <f t="shared" si="28"/>
        <v/>
      </c>
    </row>
    <row r="802" spans="1:53" x14ac:dyDescent="0.15">
      <c r="A802" s="26" t="str">
        <f t="shared" si="27"/>
        <v/>
      </c>
      <c r="B802" s="14"/>
      <c r="C802" s="28" t="str">
        <f>IF(TRIM($B802)&lt;&gt;"",INDEX(Config!$B$13:$L$76,MATCH($B802,Config!$B$13:$B$76,0),2),"")</f>
        <v/>
      </c>
      <c r="D802" s="74"/>
      <c r="E802" s="14"/>
      <c r="F802" s="14"/>
      <c r="G802" s="14"/>
      <c r="H802" s="14"/>
      <c r="Z802" s="2" t="str">
        <f>IF($B802&lt;&gt;"",INDEX(Config!$B$13:$AZ$76,MATCH($B802,Config!$B$13:$B$76,0),26),"")</f>
        <v/>
      </c>
      <c r="BA802" s="2" t="str">
        <f t="shared" si="28"/>
        <v/>
      </c>
    </row>
    <row r="803" spans="1:53" x14ac:dyDescent="0.15">
      <c r="A803" s="26" t="str">
        <f t="shared" si="27"/>
        <v/>
      </c>
      <c r="B803" s="14"/>
      <c r="C803" s="28" t="str">
        <f>IF(TRIM($B803)&lt;&gt;"",INDEX(Config!$B$13:$L$76,MATCH($B803,Config!$B$13:$B$76,0),2),"")</f>
        <v/>
      </c>
      <c r="D803" s="74"/>
      <c r="E803" s="14"/>
      <c r="F803" s="14"/>
      <c r="G803" s="14"/>
      <c r="H803" s="14"/>
      <c r="Z803" s="2" t="str">
        <f>IF($B803&lt;&gt;"",INDEX(Config!$B$13:$AZ$76,MATCH($B803,Config!$B$13:$B$76,0),26),"")</f>
        <v/>
      </c>
      <c r="BA803" s="2" t="str">
        <f t="shared" si="28"/>
        <v/>
      </c>
    </row>
    <row r="804" spans="1:53" x14ac:dyDescent="0.15">
      <c r="A804" s="26" t="str">
        <f t="shared" si="27"/>
        <v/>
      </c>
      <c r="B804" s="14"/>
      <c r="C804" s="28" t="str">
        <f>IF(TRIM($B804)&lt;&gt;"",INDEX(Config!$B$13:$L$76,MATCH($B804,Config!$B$13:$B$76,0),2),"")</f>
        <v/>
      </c>
      <c r="D804" s="74"/>
      <c r="E804" s="14"/>
      <c r="F804" s="14"/>
      <c r="G804" s="14"/>
      <c r="H804" s="14"/>
      <c r="Z804" s="2" t="str">
        <f>IF($B804&lt;&gt;"",INDEX(Config!$B$13:$AZ$76,MATCH($B804,Config!$B$13:$B$76,0),26),"")</f>
        <v/>
      </c>
      <c r="BA804" s="2" t="str">
        <f t="shared" si="28"/>
        <v/>
      </c>
    </row>
    <row r="805" spans="1:53" x14ac:dyDescent="0.15">
      <c r="A805" s="26" t="str">
        <f t="shared" si="27"/>
        <v/>
      </c>
      <c r="B805" s="14"/>
      <c r="C805" s="28" t="str">
        <f>IF(TRIM($B805)&lt;&gt;"",INDEX(Config!$B$13:$L$76,MATCH($B805,Config!$B$13:$B$76,0),2),"")</f>
        <v/>
      </c>
      <c r="D805" s="74"/>
      <c r="E805" s="14"/>
      <c r="F805" s="14"/>
      <c r="G805" s="14"/>
      <c r="H805" s="14"/>
      <c r="Z805" s="2" t="str">
        <f>IF($B805&lt;&gt;"",INDEX(Config!$B$13:$AZ$76,MATCH($B805,Config!$B$13:$B$76,0),26),"")</f>
        <v/>
      </c>
      <c r="BA805" s="2" t="str">
        <f t="shared" si="28"/>
        <v/>
      </c>
    </row>
    <row r="806" spans="1:53" x14ac:dyDescent="0.15">
      <c r="A806" s="26" t="str">
        <f t="shared" si="27"/>
        <v/>
      </c>
      <c r="B806" s="14"/>
      <c r="C806" s="28" t="str">
        <f>IF(TRIM($B806)&lt;&gt;"",INDEX(Config!$B$13:$L$76,MATCH($B806,Config!$B$13:$B$76,0),2),"")</f>
        <v/>
      </c>
      <c r="D806" s="74"/>
      <c r="E806" s="14"/>
      <c r="F806" s="14"/>
      <c r="G806" s="14"/>
      <c r="H806" s="14"/>
      <c r="Z806" s="2" t="str">
        <f>IF($B806&lt;&gt;"",INDEX(Config!$B$13:$AZ$76,MATCH($B806,Config!$B$13:$B$76,0),26),"")</f>
        <v/>
      </c>
      <c r="BA806" s="2" t="str">
        <f t="shared" si="28"/>
        <v/>
      </c>
    </row>
    <row r="807" spans="1:53" x14ac:dyDescent="0.15">
      <c r="A807" s="26" t="str">
        <f t="shared" si="27"/>
        <v/>
      </c>
      <c r="B807" s="14"/>
      <c r="C807" s="28" t="str">
        <f>IF(TRIM($B807)&lt;&gt;"",INDEX(Config!$B$13:$L$76,MATCH($B807,Config!$B$13:$B$76,0),2),"")</f>
        <v/>
      </c>
      <c r="D807" s="74"/>
      <c r="E807" s="14"/>
      <c r="F807" s="14"/>
      <c r="G807" s="14"/>
      <c r="H807" s="14"/>
      <c r="Z807" s="2" t="str">
        <f>IF($B807&lt;&gt;"",INDEX(Config!$B$13:$AZ$76,MATCH($B807,Config!$B$13:$B$76,0),26),"")</f>
        <v/>
      </c>
      <c r="BA807" s="2" t="str">
        <f t="shared" si="28"/>
        <v/>
      </c>
    </row>
    <row r="808" spans="1:53" x14ac:dyDescent="0.15">
      <c r="A808" s="26" t="str">
        <f t="shared" si="27"/>
        <v/>
      </c>
      <c r="B808" s="14"/>
      <c r="C808" s="28" t="str">
        <f>IF(TRIM($B808)&lt;&gt;"",INDEX(Config!$B$13:$L$76,MATCH($B808,Config!$B$13:$B$76,0),2),"")</f>
        <v/>
      </c>
      <c r="D808" s="74"/>
      <c r="E808" s="14"/>
      <c r="F808" s="14"/>
      <c r="G808" s="14"/>
      <c r="H808" s="14"/>
      <c r="Z808" s="2" t="str">
        <f>IF($B808&lt;&gt;"",INDEX(Config!$B$13:$AZ$76,MATCH($B808,Config!$B$13:$B$76,0),26),"")</f>
        <v/>
      </c>
      <c r="BA808" s="2" t="str">
        <f t="shared" si="28"/>
        <v/>
      </c>
    </row>
    <row r="809" spans="1:53" x14ac:dyDescent="0.15">
      <c r="A809" s="26" t="str">
        <f t="shared" si="27"/>
        <v/>
      </c>
      <c r="B809" s="14"/>
      <c r="C809" s="28" t="str">
        <f>IF(TRIM($B809)&lt;&gt;"",INDEX(Config!$B$13:$L$76,MATCH($B809,Config!$B$13:$B$76,0),2),"")</f>
        <v/>
      </c>
      <c r="D809" s="74"/>
      <c r="E809" s="14"/>
      <c r="F809" s="14"/>
      <c r="G809" s="14"/>
      <c r="H809" s="14"/>
      <c r="Z809" s="2" t="str">
        <f>IF($B809&lt;&gt;"",INDEX(Config!$B$13:$AZ$76,MATCH($B809,Config!$B$13:$B$76,0),26),"")</f>
        <v/>
      </c>
      <c r="BA809" s="2" t="str">
        <f t="shared" si="28"/>
        <v/>
      </c>
    </row>
    <row r="810" spans="1:53" x14ac:dyDescent="0.15">
      <c r="A810" s="26" t="str">
        <f t="shared" si="27"/>
        <v/>
      </c>
      <c r="B810" s="14"/>
      <c r="C810" s="28" t="str">
        <f>IF(TRIM($B810)&lt;&gt;"",INDEX(Config!$B$13:$L$76,MATCH($B810,Config!$B$13:$B$76,0),2),"")</f>
        <v/>
      </c>
      <c r="D810" s="74"/>
      <c r="E810" s="14"/>
      <c r="F810" s="14"/>
      <c r="G810" s="14"/>
      <c r="H810" s="14"/>
      <c r="Z810" s="2" t="str">
        <f>IF($B810&lt;&gt;"",INDEX(Config!$B$13:$AZ$76,MATCH($B810,Config!$B$13:$B$76,0),26),"")</f>
        <v/>
      </c>
      <c r="BA810" s="2" t="str">
        <f t="shared" si="28"/>
        <v/>
      </c>
    </row>
    <row r="811" spans="1:53" x14ac:dyDescent="0.15">
      <c r="A811" s="26" t="str">
        <f t="shared" si="27"/>
        <v/>
      </c>
      <c r="B811" s="14"/>
      <c r="C811" s="28" t="str">
        <f>IF(TRIM($B811)&lt;&gt;"",INDEX(Config!$B$13:$L$76,MATCH($B811,Config!$B$13:$B$76,0),2),"")</f>
        <v/>
      </c>
      <c r="D811" s="74"/>
      <c r="E811" s="14"/>
      <c r="F811" s="14"/>
      <c r="G811" s="14"/>
      <c r="H811" s="14"/>
      <c r="Z811" s="2" t="str">
        <f>IF($B811&lt;&gt;"",INDEX(Config!$B$13:$AZ$76,MATCH($B811,Config!$B$13:$B$76,0),26),"")</f>
        <v/>
      </c>
      <c r="BA811" s="2" t="str">
        <f t="shared" si="28"/>
        <v/>
      </c>
    </row>
    <row r="812" spans="1:53" x14ac:dyDescent="0.15">
      <c r="A812" s="26" t="str">
        <f t="shared" si="27"/>
        <v/>
      </c>
      <c r="B812" s="14"/>
      <c r="C812" s="28" t="str">
        <f>IF(TRIM($B812)&lt;&gt;"",INDEX(Config!$B$13:$L$76,MATCH($B812,Config!$B$13:$B$76,0),2),"")</f>
        <v/>
      </c>
      <c r="D812" s="74"/>
      <c r="E812" s="14"/>
      <c r="F812" s="14"/>
      <c r="G812" s="14"/>
      <c r="H812" s="14"/>
      <c r="Z812" s="2" t="str">
        <f>IF($B812&lt;&gt;"",INDEX(Config!$B$13:$AZ$76,MATCH($B812,Config!$B$13:$B$76,0),26),"")</f>
        <v/>
      </c>
      <c r="BA812" s="2" t="str">
        <f t="shared" si="28"/>
        <v/>
      </c>
    </row>
    <row r="813" spans="1:53" x14ac:dyDescent="0.15">
      <c r="A813" s="26" t="str">
        <f t="shared" si="27"/>
        <v/>
      </c>
      <c r="B813" s="14"/>
      <c r="C813" s="28" t="str">
        <f>IF(TRIM($B813)&lt;&gt;"",INDEX(Config!$B$13:$L$76,MATCH($B813,Config!$B$13:$B$76,0),2),"")</f>
        <v/>
      </c>
      <c r="D813" s="74"/>
      <c r="E813" s="14"/>
      <c r="F813" s="14"/>
      <c r="G813" s="14"/>
      <c r="H813" s="14"/>
      <c r="Z813" s="2" t="str">
        <f>IF($B813&lt;&gt;"",INDEX(Config!$B$13:$AZ$76,MATCH($B813,Config!$B$13:$B$76,0),26),"")</f>
        <v/>
      </c>
      <c r="BA813" s="2" t="str">
        <f t="shared" si="28"/>
        <v/>
      </c>
    </row>
    <row r="814" spans="1:53" x14ac:dyDescent="0.15">
      <c r="A814" s="26" t="str">
        <f t="shared" si="27"/>
        <v/>
      </c>
      <c r="B814" s="14"/>
      <c r="C814" s="28" t="str">
        <f>IF(TRIM($B814)&lt;&gt;"",INDEX(Config!$B$13:$L$76,MATCH($B814,Config!$B$13:$B$76,0),2),"")</f>
        <v/>
      </c>
      <c r="D814" s="74"/>
      <c r="E814" s="14"/>
      <c r="F814" s="14"/>
      <c r="G814" s="14"/>
      <c r="H814" s="14"/>
      <c r="Z814" s="2" t="str">
        <f>IF($B814&lt;&gt;"",INDEX(Config!$B$13:$AZ$76,MATCH($B814,Config!$B$13:$B$76,0),26),"")</f>
        <v/>
      </c>
      <c r="BA814" s="2" t="str">
        <f t="shared" si="28"/>
        <v/>
      </c>
    </row>
    <row r="815" spans="1:53" x14ac:dyDescent="0.15">
      <c r="A815" s="26" t="str">
        <f t="shared" si="27"/>
        <v/>
      </c>
      <c r="B815" s="14"/>
      <c r="C815" s="28" t="str">
        <f>IF(TRIM($B815)&lt;&gt;"",INDEX(Config!$B$13:$L$76,MATCH($B815,Config!$B$13:$B$76,0),2),"")</f>
        <v/>
      </c>
      <c r="D815" s="74"/>
      <c r="E815" s="14"/>
      <c r="F815" s="14"/>
      <c r="G815" s="14"/>
      <c r="H815" s="14"/>
      <c r="Z815" s="2" t="str">
        <f>IF($B815&lt;&gt;"",INDEX(Config!$B$13:$AZ$76,MATCH($B815,Config!$B$13:$B$76,0),26),"")</f>
        <v/>
      </c>
      <c r="BA815" s="2" t="str">
        <f t="shared" si="28"/>
        <v/>
      </c>
    </row>
    <row r="816" spans="1:53" x14ac:dyDescent="0.15">
      <c r="A816" s="26" t="str">
        <f t="shared" si="27"/>
        <v/>
      </c>
      <c r="B816" s="14"/>
      <c r="C816" s="28" t="str">
        <f>IF(TRIM($B816)&lt;&gt;"",INDEX(Config!$B$13:$L$76,MATCH($B816,Config!$B$13:$B$76,0),2),"")</f>
        <v/>
      </c>
      <c r="D816" s="74"/>
      <c r="E816" s="14"/>
      <c r="F816" s="14"/>
      <c r="G816" s="14"/>
      <c r="H816" s="14"/>
      <c r="Z816" s="2" t="str">
        <f>IF($B816&lt;&gt;"",INDEX(Config!$B$13:$AZ$76,MATCH($B816,Config!$B$13:$B$76,0),26),"")</f>
        <v/>
      </c>
      <c r="BA816" s="2" t="str">
        <f t="shared" si="28"/>
        <v/>
      </c>
    </row>
    <row r="817" spans="1:53" x14ac:dyDescent="0.15">
      <c r="A817" s="26" t="str">
        <f t="shared" si="27"/>
        <v/>
      </c>
      <c r="B817" s="14"/>
      <c r="C817" s="28" t="str">
        <f>IF(TRIM($B817)&lt;&gt;"",INDEX(Config!$B$13:$L$76,MATCH($B817,Config!$B$13:$B$76,0),2),"")</f>
        <v/>
      </c>
      <c r="D817" s="74"/>
      <c r="E817" s="14"/>
      <c r="F817" s="14"/>
      <c r="G817" s="14"/>
      <c r="H817" s="14"/>
      <c r="Z817" s="2" t="str">
        <f>IF($B817&lt;&gt;"",INDEX(Config!$B$13:$AZ$76,MATCH($B817,Config!$B$13:$B$76,0),26),"")</f>
        <v/>
      </c>
      <c r="BA817" s="2" t="str">
        <f t="shared" si="28"/>
        <v/>
      </c>
    </row>
    <row r="818" spans="1:53" x14ac:dyDescent="0.15">
      <c r="A818" s="26" t="str">
        <f t="shared" si="27"/>
        <v/>
      </c>
      <c r="B818" s="14"/>
      <c r="C818" s="28" t="str">
        <f>IF(TRIM($B818)&lt;&gt;"",INDEX(Config!$B$13:$L$76,MATCH($B818,Config!$B$13:$B$76,0),2),"")</f>
        <v/>
      </c>
      <c r="D818" s="74"/>
      <c r="E818" s="14"/>
      <c r="F818" s="14"/>
      <c r="G818" s="14"/>
      <c r="H818" s="14"/>
      <c r="Z818" s="2" t="str">
        <f>IF($B818&lt;&gt;"",INDEX(Config!$B$13:$AZ$76,MATCH($B818,Config!$B$13:$B$76,0),26),"")</f>
        <v/>
      </c>
      <c r="BA818" s="2" t="str">
        <f t="shared" si="28"/>
        <v/>
      </c>
    </row>
    <row r="819" spans="1:53" x14ac:dyDescent="0.15">
      <c r="A819" s="26" t="str">
        <f t="shared" si="27"/>
        <v/>
      </c>
      <c r="B819" s="14"/>
      <c r="C819" s="28" t="str">
        <f>IF(TRIM($B819)&lt;&gt;"",INDEX(Config!$B$13:$L$76,MATCH($B819,Config!$B$13:$B$76,0),2),"")</f>
        <v/>
      </c>
      <c r="D819" s="74"/>
      <c r="E819" s="14"/>
      <c r="F819" s="14"/>
      <c r="G819" s="14"/>
      <c r="H819" s="14"/>
      <c r="Z819" s="2" t="str">
        <f>IF($B819&lt;&gt;"",INDEX(Config!$B$13:$AZ$76,MATCH($B819,Config!$B$13:$B$76,0),26),"")</f>
        <v/>
      </c>
      <c r="BA819" s="2" t="str">
        <f t="shared" si="28"/>
        <v/>
      </c>
    </row>
    <row r="820" spans="1:53" x14ac:dyDescent="0.15">
      <c r="A820" s="26" t="str">
        <f t="shared" si="27"/>
        <v/>
      </c>
      <c r="B820" s="14"/>
      <c r="C820" s="28" t="str">
        <f>IF(TRIM($B820)&lt;&gt;"",INDEX(Config!$B$13:$L$76,MATCH($B820,Config!$B$13:$B$76,0),2),"")</f>
        <v/>
      </c>
      <c r="D820" s="74"/>
      <c r="E820" s="14"/>
      <c r="F820" s="14"/>
      <c r="G820" s="14"/>
      <c r="H820" s="14"/>
      <c r="Z820" s="2" t="str">
        <f>IF($B820&lt;&gt;"",INDEX(Config!$B$13:$AZ$76,MATCH($B820,Config!$B$13:$B$76,0),26),"")</f>
        <v/>
      </c>
      <c r="BA820" s="2" t="str">
        <f t="shared" si="28"/>
        <v/>
      </c>
    </row>
    <row r="821" spans="1:53" x14ac:dyDescent="0.15">
      <c r="A821" s="26" t="str">
        <f t="shared" si="27"/>
        <v/>
      </c>
      <c r="B821" s="14"/>
      <c r="C821" s="28" t="str">
        <f>IF(TRIM($B821)&lt;&gt;"",INDEX(Config!$B$13:$L$76,MATCH($B821,Config!$B$13:$B$76,0),2),"")</f>
        <v/>
      </c>
      <c r="D821" s="74"/>
      <c r="E821" s="14"/>
      <c r="F821" s="14"/>
      <c r="G821" s="14"/>
      <c r="H821" s="14"/>
      <c r="Z821" s="2" t="str">
        <f>IF($B821&lt;&gt;"",INDEX(Config!$B$13:$AZ$76,MATCH($B821,Config!$B$13:$B$76,0),26),"")</f>
        <v/>
      </c>
      <c r="BA821" s="2" t="str">
        <f t="shared" si="28"/>
        <v/>
      </c>
    </row>
    <row r="822" spans="1:53" x14ac:dyDescent="0.15">
      <c r="A822" s="26" t="str">
        <f t="shared" si="27"/>
        <v/>
      </c>
      <c r="B822" s="14"/>
      <c r="C822" s="28" t="str">
        <f>IF(TRIM($B822)&lt;&gt;"",INDEX(Config!$B$13:$L$76,MATCH($B822,Config!$B$13:$B$76,0),2),"")</f>
        <v/>
      </c>
      <c r="D822" s="74"/>
      <c r="E822" s="14"/>
      <c r="F822" s="14"/>
      <c r="G822" s="14"/>
      <c r="H822" s="14"/>
      <c r="Z822" s="2" t="str">
        <f>IF($B822&lt;&gt;"",INDEX(Config!$B$13:$AZ$76,MATCH($B822,Config!$B$13:$B$76,0),26),"")</f>
        <v/>
      </c>
      <c r="BA822" s="2" t="str">
        <f t="shared" si="28"/>
        <v/>
      </c>
    </row>
    <row r="823" spans="1:53" x14ac:dyDescent="0.15">
      <c r="A823" s="26" t="str">
        <f t="shared" si="27"/>
        <v/>
      </c>
      <c r="B823" s="14"/>
      <c r="C823" s="28" t="str">
        <f>IF(TRIM($B823)&lt;&gt;"",INDEX(Config!$B$13:$L$76,MATCH($B823,Config!$B$13:$B$76,0),2),"")</f>
        <v/>
      </c>
      <c r="D823" s="74"/>
      <c r="E823" s="14"/>
      <c r="F823" s="14"/>
      <c r="G823" s="14"/>
      <c r="H823" s="14"/>
      <c r="Z823" s="2" t="str">
        <f>IF($B823&lt;&gt;"",INDEX(Config!$B$13:$AZ$76,MATCH($B823,Config!$B$13:$B$76,0),26),"")</f>
        <v/>
      </c>
      <c r="BA823" s="2" t="str">
        <f t="shared" si="28"/>
        <v/>
      </c>
    </row>
    <row r="824" spans="1:53" x14ac:dyDescent="0.15">
      <c r="A824" s="26" t="str">
        <f t="shared" si="27"/>
        <v/>
      </c>
      <c r="B824" s="14"/>
      <c r="C824" s="28" t="str">
        <f>IF(TRIM($B824)&lt;&gt;"",INDEX(Config!$B$13:$L$76,MATCH($B824,Config!$B$13:$B$76,0),2),"")</f>
        <v/>
      </c>
      <c r="D824" s="74"/>
      <c r="E824" s="14"/>
      <c r="F824" s="14"/>
      <c r="G824" s="14"/>
      <c r="H824" s="14"/>
      <c r="Z824" s="2" t="str">
        <f>IF($B824&lt;&gt;"",INDEX(Config!$B$13:$AZ$76,MATCH($B824,Config!$B$13:$B$76,0),26),"")</f>
        <v/>
      </c>
      <c r="BA824" s="2" t="str">
        <f t="shared" si="28"/>
        <v/>
      </c>
    </row>
    <row r="825" spans="1:53" x14ac:dyDescent="0.15">
      <c r="A825" s="26" t="str">
        <f t="shared" si="27"/>
        <v/>
      </c>
      <c r="B825" s="14"/>
      <c r="C825" s="28" t="str">
        <f>IF(TRIM($B825)&lt;&gt;"",INDEX(Config!$B$13:$L$76,MATCH($B825,Config!$B$13:$B$76,0),2),"")</f>
        <v/>
      </c>
      <c r="D825" s="74"/>
      <c r="E825" s="14"/>
      <c r="F825" s="14"/>
      <c r="G825" s="14"/>
      <c r="H825" s="14"/>
      <c r="Z825" s="2" t="str">
        <f>IF($B825&lt;&gt;"",INDEX(Config!$B$13:$AZ$76,MATCH($B825,Config!$B$13:$B$76,0),26),"")</f>
        <v/>
      </c>
      <c r="BA825" s="2" t="str">
        <f t="shared" si="28"/>
        <v/>
      </c>
    </row>
    <row r="826" spans="1:53" x14ac:dyDescent="0.15">
      <c r="A826" s="26" t="str">
        <f t="shared" si="27"/>
        <v/>
      </c>
      <c r="B826" s="14"/>
      <c r="C826" s="28" t="str">
        <f>IF(TRIM($B826)&lt;&gt;"",INDEX(Config!$B$13:$L$76,MATCH($B826,Config!$B$13:$B$76,0),2),"")</f>
        <v/>
      </c>
      <c r="D826" s="74"/>
      <c r="E826" s="14"/>
      <c r="F826" s="14"/>
      <c r="G826" s="14"/>
      <c r="H826" s="14"/>
      <c r="Z826" s="2" t="str">
        <f>IF($B826&lt;&gt;"",INDEX(Config!$B$13:$AZ$76,MATCH($B826,Config!$B$13:$B$76,0),26),"")</f>
        <v/>
      </c>
      <c r="BA826" s="2" t="str">
        <f t="shared" si="28"/>
        <v/>
      </c>
    </row>
    <row r="827" spans="1:53" x14ac:dyDescent="0.15">
      <c r="A827" s="26" t="str">
        <f t="shared" si="27"/>
        <v/>
      </c>
      <c r="B827" s="14"/>
      <c r="C827" s="28" t="str">
        <f>IF(TRIM($B827)&lt;&gt;"",INDEX(Config!$B$13:$L$76,MATCH($B827,Config!$B$13:$B$76,0),2),"")</f>
        <v/>
      </c>
      <c r="D827" s="74"/>
      <c r="E827" s="14"/>
      <c r="F827" s="14"/>
      <c r="G827" s="14"/>
      <c r="H827" s="14"/>
      <c r="Z827" s="2" t="str">
        <f>IF($B827&lt;&gt;"",INDEX(Config!$B$13:$AZ$76,MATCH($B827,Config!$B$13:$B$76,0),26),"")</f>
        <v/>
      </c>
      <c r="BA827" s="2" t="str">
        <f t="shared" si="28"/>
        <v/>
      </c>
    </row>
    <row r="828" spans="1:53" x14ac:dyDescent="0.15">
      <c r="A828" s="26" t="str">
        <f t="shared" si="27"/>
        <v/>
      </c>
      <c r="B828" s="14"/>
      <c r="C828" s="28" t="str">
        <f>IF(TRIM($B828)&lt;&gt;"",INDEX(Config!$B$13:$L$76,MATCH($B828,Config!$B$13:$B$76,0),2),"")</f>
        <v/>
      </c>
      <c r="D828" s="74"/>
      <c r="E828" s="14"/>
      <c r="F828" s="14"/>
      <c r="G828" s="14"/>
      <c r="H828" s="14"/>
      <c r="Z828" s="2" t="str">
        <f>IF($B828&lt;&gt;"",INDEX(Config!$B$13:$AZ$76,MATCH($B828,Config!$B$13:$B$76,0),26),"")</f>
        <v/>
      </c>
      <c r="BA828" s="2" t="str">
        <f t="shared" si="28"/>
        <v/>
      </c>
    </row>
    <row r="829" spans="1:53" x14ac:dyDescent="0.15">
      <c r="A829" s="26" t="str">
        <f t="shared" si="27"/>
        <v/>
      </c>
      <c r="B829" s="14"/>
      <c r="C829" s="28" t="str">
        <f>IF(TRIM($B829)&lt;&gt;"",INDEX(Config!$B$13:$L$76,MATCH($B829,Config!$B$13:$B$76,0),2),"")</f>
        <v/>
      </c>
      <c r="D829" s="74"/>
      <c r="E829" s="14"/>
      <c r="F829" s="14"/>
      <c r="G829" s="14"/>
      <c r="H829" s="14"/>
      <c r="Z829" s="2" t="str">
        <f>IF($B829&lt;&gt;"",INDEX(Config!$B$13:$AZ$76,MATCH($B829,Config!$B$13:$B$76,0),26),"")</f>
        <v/>
      </c>
      <c r="BA829" s="2" t="str">
        <f t="shared" si="28"/>
        <v/>
      </c>
    </row>
    <row r="830" spans="1:53" x14ac:dyDescent="0.15">
      <c r="A830" s="26" t="str">
        <f t="shared" si="27"/>
        <v/>
      </c>
      <c r="B830" s="14"/>
      <c r="C830" s="28" t="str">
        <f>IF(TRIM($B830)&lt;&gt;"",INDEX(Config!$B$13:$L$76,MATCH($B830,Config!$B$13:$B$76,0),2),"")</f>
        <v/>
      </c>
      <c r="D830" s="74"/>
      <c r="E830" s="14"/>
      <c r="F830" s="14"/>
      <c r="G830" s="14"/>
      <c r="H830" s="14"/>
      <c r="Z830" s="2" t="str">
        <f>IF($B830&lt;&gt;"",INDEX(Config!$B$13:$AZ$76,MATCH($B830,Config!$B$13:$B$76,0),26),"")</f>
        <v/>
      </c>
      <c r="BA830" s="2" t="str">
        <f t="shared" si="28"/>
        <v/>
      </c>
    </row>
    <row r="831" spans="1:53" x14ac:dyDescent="0.15">
      <c r="A831" s="26" t="str">
        <f t="shared" si="27"/>
        <v/>
      </c>
      <c r="B831" s="14"/>
      <c r="C831" s="28" t="str">
        <f>IF(TRIM($B831)&lt;&gt;"",INDEX(Config!$B$13:$L$76,MATCH($B831,Config!$B$13:$B$76,0),2),"")</f>
        <v/>
      </c>
      <c r="D831" s="74"/>
      <c r="E831" s="14"/>
      <c r="F831" s="14"/>
      <c r="G831" s="14"/>
      <c r="H831" s="14"/>
      <c r="Z831" s="2" t="str">
        <f>IF($B831&lt;&gt;"",INDEX(Config!$B$13:$AZ$76,MATCH($B831,Config!$B$13:$B$76,0),26),"")</f>
        <v/>
      </c>
      <c r="BA831" s="2" t="str">
        <f t="shared" si="28"/>
        <v/>
      </c>
    </row>
    <row r="832" spans="1:53" x14ac:dyDescent="0.15">
      <c r="A832" s="26" t="str">
        <f t="shared" si="27"/>
        <v/>
      </c>
      <c r="B832" s="14"/>
      <c r="C832" s="28" t="str">
        <f>IF(TRIM($B832)&lt;&gt;"",INDEX(Config!$B$13:$L$76,MATCH($B832,Config!$B$13:$B$76,0),2),"")</f>
        <v/>
      </c>
      <c r="D832" s="74"/>
      <c r="E832" s="14"/>
      <c r="F832" s="14"/>
      <c r="G832" s="14"/>
      <c r="H832" s="14"/>
      <c r="Z832" s="2" t="str">
        <f>IF($B832&lt;&gt;"",INDEX(Config!$B$13:$AZ$76,MATCH($B832,Config!$B$13:$B$76,0),26),"")</f>
        <v/>
      </c>
      <c r="BA832" s="2" t="str">
        <f t="shared" si="28"/>
        <v/>
      </c>
    </row>
    <row r="833" spans="1:53" x14ac:dyDescent="0.15">
      <c r="A833" s="26" t="str">
        <f t="shared" si="27"/>
        <v/>
      </c>
      <c r="B833" s="14"/>
      <c r="C833" s="28" t="str">
        <f>IF(TRIM($B833)&lt;&gt;"",INDEX(Config!$B$13:$L$76,MATCH($B833,Config!$B$13:$B$76,0),2),"")</f>
        <v/>
      </c>
      <c r="D833" s="74"/>
      <c r="E833" s="14"/>
      <c r="F833" s="14"/>
      <c r="G833" s="14"/>
      <c r="H833" s="14"/>
      <c r="Z833" s="2" t="str">
        <f>IF($B833&lt;&gt;"",INDEX(Config!$B$13:$AZ$76,MATCH($B833,Config!$B$13:$B$76,0),26),"")</f>
        <v/>
      </c>
      <c r="BA833" s="2" t="str">
        <f t="shared" si="28"/>
        <v/>
      </c>
    </row>
    <row r="834" spans="1:53" x14ac:dyDescent="0.15">
      <c r="A834" s="26" t="str">
        <f t="shared" si="27"/>
        <v/>
      </c>
      <c r="B834" s="14"/>
      <c r="C834" s="28" t="str">
        <f>IF(TRIM($B834)&lt;&gt;"",INDEX(Config!$B$13:$L$76,MATCH($B834,Config!$B$13:$B$76,0),2),"")</f>
        <v/>
      </c>
      <c r="D834" s="74"/>
      <c r="E834" s="14"/>
      <c r="F834" s="14"/>
      <c r="G834" s="14"/>
      <c r="H834" s="14"/>
      <c r="Z834" s="2" t="str">
        <f>IF($B834&lt;&gt;"",INDEX(Config!$B$13:$AZ$76,MATCH($B834,Config!$B$13:$B$76,0),26),"")</f>
        <v/>
      </c>
      <c r="BA834" s="2" t="str">
        <f t="shared" si="28"/>
        <v/>
      </c>
    </row>
    <row r="835" spans="1:53" x14ac:dyDescent="0.15">
      <c r="A835" s="26" t="str">
        <f t="shared" si="27"/>
        <v/>
      </c>
      <c r="B835" s="14"/>
      <c r="C835" s="28" t="str">
        <f>IF(TRIM($B835)&lt;&gt;"",INDEX(Config!$B$13:$L$76,MATCH($B835,Config!$B$13:$B$76,0),2),"")</f>
        <v/>
      </c>
      <c r="D835" s="74"/>
      <c r="E835" s="14"/>
      <c r="F835" s="14"/>
      <c r="G835" s="14"/>
      <c r="H835" s="14"/>
      <c r="Z835" s="2" t="str">
        <f>IF($B835&lt;&gt;"",INDEX(Config!$B$13:$AZ$76,MATCH($B835,Config!$B$13:$B$76,0),26),"")</f>
        <v/>
      </c>
      <c r="BA835" s="2" t="str">
        <f t="shared" si="28"/>
        <v/>
      </c>
    </row>
    <row r="836" spans="1:53" x14ac:dyDescent="0.15">
      <c r="A836" s="26" t="str">
        <f t="shared" si="27"/>
        <v/>
      </c>
      <c r="B836" s="14"/>
      <c r="C836" s="28" t="str">
        <f>IF(TRIM($B836)&lt;&gt;"",INDEX(Config!$B$13:$L$76,MATCH($B836,Config!$B$13:$B$76,0),2),"")</f>
        <v/>
      </c>
      <c r="D836" s="74"/>
      <c r="E836" s="14"/>
      <c r="F836" s="14"/>
      <c r="G836" s="14"/>
      <c r="H836" s="14"/>
      <c r="Z836" s="2" t="str">
        <f>IF($B836&lt;&gt;"",INDEX(Config!$B$13:$AZ$76,MATCH($B836,Config!$B$13:$B$76,0),26),"")</f>
        <v/>
      </c>
      <c r="BA836" s="2" t="str">
        <f t="shared" si="28"/>
        <v/>
      </c>
    </row>
    <row r="837" spans="1:53" x14ac:dyDescent="0.15">
      <c r="A837" s="26" t="str">
        <f t="shared" si="27"/>
        <v/>
      </c>
      <c r="B837" s="14"/>
      <c r="C837" s="28" t="str">
        <f>IF(TRIM($B837)&lt;&gt;"",INDEX(Config!$B$13:$L$76,MATCH($B837,Config!$B$13:$B$76,0),2),"")</f>
        <v/>
      </c>
      <c r="D837" s="74"/>
      <c r="E837" s="14"/>
      <c r="F837" s="14"/>
      <c r="G837" s="14"/>
      <c r="H837" s="14"/>
      <c r="Z837" s="2" t="str">
        <f>IF($B837&lt;&gt;"",INDEX(Config!$B$13:$AZ$76,MATCH($B837,Config!$B$13:$B$76,0),26),"")</f>
        <v/>
      </c>
      <c r="BA837" s="2" t="str">
        <f t="shared" si="28"/>
        <v/>
      </c>
    </row>
    <row r="838" spans="1:53" x14ac:dyDescent="0.15">
      <c r="A838" s="26" t="str">
        <f t="shared" si="27"/>
        <v/>
      </c>
      <c r="B838" s="14"/>
      <c r="C838" s="28" t="str">
        <f>IF(TRIM($B838)&lt;&gt;"",INDEX(Config!$B$13:$L$76,MATCH($B838,Config!$B$13:$B$76,0),2),"")</f>
        <v/>
      </c>
      <c r="D838" s="74"/>
      <c r="E838" s="14"/>
      <c r="F838" s="14"/>
      <c r="G838" s="14"/>
      <c r="H838" s="14"/>
      <c r="Z838" s="2" t="str">
        <f>IF($B838&lt;&gt;"",INDEX(Config!$B$13:$AZ$76,MATCH($B838,Config!$B$13:$B$76,0),26),"")</f>
        <v/>
      </c>
      <c r="BA838" s="2" t="str">
        <f t="shared" si="28"/>
        <v/>
      </c>
    </row>
    <row r="839" spans="1:53" x14ac:dyDescent="0.15">
      <c r="A839" s="26" t="str">
        <f t="shared" si="27"/>
        <v/>
      </c>
      <c r="B839" s="14"/>
      <c r="C839" s="28" t="str">
        <f>IF(TRIM($B839)&lt;&gt;"",INDEX(Config!$B$13:$L$76,MATCH($B839,Config!$B$13:$B$76,0),2),"")</f>
        <v/>
      </c>
      <c r="D839" s="74"/>
      <c r="E839" s="14"/>
      <c r="F839" s="14"/>
      <c r="G839" s="14"/>
      <c r="H839" s="14"/>
      <c r="Z839" s="2" t="str">
        <f>IF($B839&lt;&gt;"",INDEX(Config!$B$13:$AZ$76,MATCH($B839,Config!$B$13:$B$76,0),26),"")</f>
        <v/>
      </c>
      <c r="BA839" s="2" t="str">
        <f t="shared" si="28"/>
        <v/>
      </c>
    </row>
    <row r="840" spans="1:53" x14ac:dyDescent="0.15">
      <c r="A840" s="26" t="str">
        <f t="shared" ref="A840:A903" si="29">IF(B840&lt;&gt;"","#"&amp;ROW()-1,"")</f>
        <v/>
      </c>
      <c r="B840" s="14"/>
      <c r="C840" s="28" t="str">
        <f>IF(TRIM($B840)&lt;&gt;"",INDEX(Config!$B$13:$L$76,MATCH($B840,Config!$B$13:$B$76,0),2),"")</f>
        <v/>
      </c>
      <c r="D840" s="74"/>
      <c r="E840" s="14"/>
      <c r="F840" s="14"/>
      <c r="G840" s="14"/>
      <c r="H840" s="14"/>
      <c r="Z840" s="2" t="str">
        <f>IF($B840&lt;&gt;"",INDEX(Config!$B$13:$AZ$76,MATCH($B840,Config!$B$13:$B$76,0),26),"")</f>
        <v/>
      </c>
      <c r="BA840" s="2" t="str">
        <f t="shared" ref="BA840:BA903" si="30">IF($B840&lt;&gt;"",ROW()-1,"")</f>
        <v/>
      </c>
    </row>
    <row r="841" spans="1:53" x14ac:dyDescent="0.15">
      <c r="A841" s="26" t="str">
        <f t="shared" si="29"/>
        <v/>
      </c>
      <c r="B841" s="14"/>
      <c r="C841" s="28" t="str">
        <f>IF(TRIM($B841)&lt;&gt;"",INDEX(Config!$B$13:$L$76,MATCH($B841,Config!$B$13:$B$76,0),2),"")</f>
        <v/>
      </c>
      <c r="D841" s="74"/>
      <c r="E841" s="14"/>
      <c r="F841" s="14"/>
      <c r="G841" s="14"/>
      <c r="H841" s="14"/>
      <c r="Z841" s="2" t="str">
        <f>IF($B841&lt;&gt;"",INDEX(Config!$B$13:$AZ$76,MATCH($B841,Config!$B$13:$B$76,0),26),"")</f>
        <v/>
      </c>
      <c r="BA841" s="2" t="str">
        <f t="shared" si="30"/>
        <v/>
      </c>
    </row>
    <row r="842" spans="1:53" x14ac:dyDescent="0.15">
      <c r="A842" s="26" t="str">
        <f t="shared" si="29"/>
        <v/>
      </c>
      <c r="B842" s="14"/>
      <c r="C842" s="28" t="str">
        <f>IF(TRIM($B842)&lt;&gt;"",INDEX(Config!$B$13:$L$76,MATCH($B842,Config!$B$13:$B$76,0),2),"")</f>
        <v/>
      </c>
      <c r="D842" s="74"/>
      <c r="E842" s="14"/>
      <c r="F842" s="14"/>
      <c r="G842" s="14"/>
      <c r="H842" s="14"/>
      <c r="Z842" s="2" t="str">
        <f>IF($B842&lt;&gt;"",INDEX(Config!$B$13:$AZ$76,MATCH($B842,Config!$B$13:$B$76,0),26),"")</f>
        <v/>
      </c>
      <c r="BA842" s="2" t="str">
        <f t="shared" si="30"/>
        <v/>
      </c>
    </row>
    <row r="843" spans="1:53" x14ac:dyDescent="0.15">
      <c r="A843" s="26" t="str">
        <f t="shared" si="29"/>
        <v/>
      </c>
      <c r="B843" s="14"/>
      <c r="C843" s="28" t="str">
        <f>IF(TRIM($B843)&lt;&gt;"",INDEX(Config!$B$13:$L$76,MATCH($B843,Config!$B$13:$B$76,0),2),"")</f>
        <v/>
      </c>
      <c r="D843" s="74"/>
      <c r="E843" s="14"/>
      <c r="F843" s="14"/>
      <c r="G843" s="14"/>
      <c r="H843" s="14"/>
      <c r="Z843" s="2" t="str">
        <f>IF($B843&lt;&gt;"",INDEX(Config!$B$13:$AZ$76,MATCH($B843,Config!$B$13:$B$76,0),26),"")</f>
        <v/>
      </c>
      <c r="BA843" s="2" t="str">
        <f t="shared" si="30"/>
        <v/>
      </c>
    </row>
    <row r="844" spans="1:53" x14ac:dyDescent="0.15">
      <c r="A844" s="26" t="str">
        <f t="shared" si="29"/>
        <v/>
      </c>
      <c r="B844" s="14"/>
      <c r="C844" s="28" t="str">
        <f>IF(TRIM($B844)&lt;&gt;"",INDEX(Config!$B$13:$L$76,MATCH($B844,Config!$B$13:$B$76,0),2),"")</f>
        <v/>
      </c>
      <c r="D844" s="74"/>
      <c r="E844" s="14"/>
      <c r="F844" s="14"/>
      <c r="G844" s="14"/>
      <c r="H844" s="14"/>
      <c r="Z844" s="2" t="str">
        <f>IF($B844&lt;&gt;"",INDEX(Config!$B$13:$AZ$76,MATCH($B844,Config!$B$13:$B$76,0),26),"")</f>
        <v/>
      </c>
      <c r="BA844" s="2" t="str">
        <f t="shared" si="30"/>
        <v/>
      </c>
    </row>
    <row r="845" spans="1:53" x14ac:dyDescent="0.15">
      <c r="A845" s="26" t="str">
        <f t="shared" si="29"/>
        <v/>
      </c>
      <c r="B845" s="14"/>
      <c r="C845" s="28" t="str">
        <f>IF(TRIM($B845)&lt;&gt;"",INDEX(Config!$B$13:$L$76,MATCH($B845,Config!$B$13:$B$76,0),2),"")</f>
        <v/>
      </c>
      <c r="D845" s="74"/>
      <c r="E845" s="14"/>
      <c r="F845" s="14"/>
      <c r="G845" s="14"/>
      <c r="H845" s="14"/>
      <c r="Z845" s="2" t="str">
        <f>IF($B845&lt;&gt;"",INDEX(Config!$B$13:$AZ$76,MATCH($B845,Config!$B$13:$B$76,0),26),"")</f>
        <v/>
      </c>
      <c r="BA845" s="2" t="str">
        <f t="shared" si="30"/>
        <v/>
      </c>
    </row>
    <row r="846" spans="1:53" x14ac:dyDescent="0.15">
      <c r="A846" s="26" t="str">
        <f t="shared" si="29"/>
        <v/>
      </c>
      <c r="B846" s="14"/>
      <c r="C846" s="28" t="str">
        <f>IF(TRIM($B846)&lt;&gt;"",INDEX(Config!$B$13:$L$76,MATCH($B846,Config!$B$13:$B$76,0),2),"")</f>
        <v/>
      </c>
      <c r="D846" s="74"/>
      <c r="E846" s="14"/>
      <c r="F846" s="14"/>
      <c r="G846" s="14"/>
      <c r="H846" s="14"/>
      <c r="Z846" s="2" t="str">
        <f>IF($B846&lt;&gt;"",INDEX(Config!$B$13:$AZ$76,MATCH($B846,Config!$B$13:$B$76,0),26),"")</f>
        <v/>
      </c>
      <c r="BA846" s="2" t="str">
        <f t="shared" si="30"/>
        <v/>
      </c>
    </row>
    <row r="847" spans="1:53" x14ac:dyDescent="0.15">
      <c r="A847" s="26" t="str">
        <f t="shared" si="29"/>
        <v/>
      </c>
      <c r="B847" s="14"/>
      <c r="C847" s="28" t="str">
        <f>IF(TRIM($B847)&lt;&gt;"",INDEX(Config!$B$13:$L$76,MATCH($B847,Config!$B$13:$B$76,0),2),"")</f>
        <v/>
      </c>
      <c r="D847" s="74"/>
      <c r="E847" s="14"/>
      <c r="F847" s="14"/>
      <c r="G847" s="14"/>
      <c r="H847" s="14"/>
      <c r="Z847" s="2" t="str">
        <f>IF($B847&lt;&gt;"",INDEX(Config!$B$13:$AZ$76,MATCH($B847,Config!$B$13:$B$76,0),26),"")</f>
        <v/>
      </c>
      <c r="BA847" s="2" t="str">
        <f t="shared" si="30"/>
        <v/>
      </c>
    </row>
    <row r="848" spans="1:53" x14ac:dyDescent="0.15">
      <c r="A848" s="26" t="str">
        <f t="shared" si="29"/>
        <v/>
      </c>
      <c r="B848" s="14"/>
      <c r="C848" s="28" t="str">
        <f>IF(TRIM($B848)&lt;&gt;"",INDEX(Config!$B$13:$L$76,MATCH($B848,Config!$B$13:$B$76,0),2),"")</f>
        <v/>
      </c>
      <c r="D848" s="74"/>
      <c r="E848" s="14"/>
      <c r="F848" s="14"/>
      <c r="G848" s="14"/>
      <c r="H848" s="14"/>
      <c r="Z848" s="2" t="str">
        <f>IF($B848&lt;&gt;"",INDEX(Config!$B$13:$AZ$76,MATCH($B848,Config!$B$13:$B$76,0),26),"")</f>
        <v/>
      </c>
      <c r="BA848" s="2" t="str">
        <f t="shared" si="30"/>
        <v/>
      </c>
    </row>
    <row r="849" spans="1:53" x14ac:dyDescent="0.15">
      <c r="A849" s="26" t="str">
        <f t="shared" si="29"/>
        <v/>
      </c>
      <c r="B849" s="14"/>
      <c r="C849" s="28" t="str">
        <f>IF(TRIM($B849)&lt;&gt;"",INDEX(Config!$B$13:$L$76,MATCH($B849,Config!$B$13:$B$76,0),2),"")</f>
        <v/>
      </c>
      <c r="D849" s="74"/>
      <c r="E849" s="14"/>
      <c r="F849" s="14"/>
      <c r="G849" s="14"/>
      <c r="H849" s="14"/>
      <c r="Z849" s="2" t="str">
        <f>IF($B849&lt;&gt;"",INDEX(Config!$B$13:$AZ$76,MATCH($B849,Config!$B$13:$B$76,0),26),"")</f>
        <v/>
      </c>
      <c r="BA849" s="2" t="str">
        <f t="shared" si="30"/>
        <v/>
      </c>
    </row>
    <row r="850" spans="1:53" x14ac:dyDescent="0.15">
      <c r="A850" s="26" t="str">
        <f t="shared" si="29"/>
        <v/>
      </c>
      <c r="B850" s="14"/>
      <c r="C850" s="28" t="str">
        <f>IF(TRIM($B850)&lt;&gt;"",INDEX(Config!$B$13:$L$76,MATCH($B850,Config!$B$13:$B$76,0),2),"")</f>
        <v/>
      </c>
      <c r="D850" s="74"/>
      <c r="E850" s="14"/>
      <c r="F850" s="14"/>
      <c r="G850" s="14"/>
      <c r="H850" s="14"/>
      <c r="Z850" s="2" t="str">
        <f>IF($B850&lt;&gt;"",INDEX(Config!$B$13:$AZ$76,MATCH($B850,Config!$B$13:$B$76,0),26),"")</f>
        <v/>
      </c>
      <c r="BA850" s="2" t="str">
        <f t="shared" si="30"/>
        <v/>
      </c>
    </row>
    <row r="851" spans="1:53" x14ac:dyDescent="0.15">
      <c r="A851" s="26" t="str">
        <f t="shared" si="29"/>
        <v/>
      </c>
      <c r="B851" s="14"/>
      <c r="C851" s="28" t="str">
        <f>IF(TRIM($B851)&lt;&gt;"",INDEX(Config!$B$13:$L$76,MATCH($B851,Config!$B$13:$B$76,0),2),"")</f>
        <v/>
      </c>
      <c r="D851" s="74"/>
      <c r="E851" s="14"/>
      <c r="F851" s="14"/>
      <c r="G851" s="14"/>
      <c r="H851" s="14"/>
      <c r="Z851" s="2" t="str">
        <f>IF($B851&lt;&gt;"",INDEX(Config!$B$13:$AZ$76,MATCH($B851,Config!$B$13:$B$76,0),26),"")</f>
        <v/>
      </c>
      <c r="BA851" s="2" t="str">
        <f t="shared" si="30"/>
        <v/>
      </c>
    </row>
    <row r="852" spans="1:53" x14ac:dyDescent="0.15">
      <c r="A852" s="26" t="str">
        <f t="shared" si="29"/>
        <v/>
      </c>
      <c r="B852" s="14"/>
      <c r="C852" s="28" t="str">
        <f>IF(TRIM($B852)&lt;&gt;"",INDEX(Config!$B$13:$L$76,MATCH($B852,Config!$B$13:$B$76,0),2),"")</f>
        <v/>
      </c>
      <c r="D852" s="74"/>
      <c r="E852" s="14"/>
      <c r="F852" s="14"/>
      <c r="G852" s="14"/>
      <c r="H852" s="14"/>
      <c r="Z852" s="2" t="str">
        <f>IF($B852&lt;&gt;"",INDEX(Config!$B$13:$AZ$76,MATCH($B852,Config!$B$13:$B$76,0),26),"")</f>
        <v/>
      </c>
      <c r="BA852" s="2" t="str">
        <f t="shared" si="30"/>
        <v/>
      </c>
    </row>
    <row r="853" spans="1:53" x14ac:dyDescent="0.15">
      <c r="A853" s="26" t="str">
        <f t="shared" si="29"/>
        <v/>
      </c>
      <c r="B853" s="14"/>
      <c r="C853" s="28" t="str">
        <f>IF(TRIM($B853)&lt;&gt;"",INDEX(Config!$B$13:$L$76,MATCH($B853,Config!$B$13:$B$76,0),2),"")</f>
        <v/>
      </c>
      <c r="D853" s="74"/>
      <c r="E853" s="14"/>
      <c r="F853" s="14"/>
      <c r="G853" s="14"/>
      <c r="H853" s="14"/>
      <c r="Z853" s="2" t="str">
        <f>IF($B853&lt;&gt;"",INDEX(Config!$B$13:$AZ$76,MATCH($B853,Config!$B$13:$B$76,0),26),"")</f>
        <v/>
      </c>
      <c r="BA853" s="2" t="str">
        <f t="shared" si="30"/>
        <v/>
      </c>
    </row>
    <row r="854" spans="1:53" x14ac:dyDescent="0.15">
      <c r="A854" s="26" t="str">
        <f t="shared" si="29"/>
        <v/>
      </c>
      <c r="B854" s="14"/>
      <c r="C854" s="28" t="str">
        <f>IF(TRIM($B854)&lt;&gt;"",INDEX(Config!$B$13:$L$76,MATCH($B854,Config!$B$13:$B$76,0),2),"")</f>
        <v/>
      </c>
      <c r="D854" s="74"/>
      <c r="E854" s="14"/>
      <c r="F854" s="14"/>
      <c r="G854" s="14"/>
      <c r="H854" s="14"/>
      <c r="Z854" s="2" t="str">
        <f>IF($B854&lt;&gt;"",INDEX(Config!$B$13:$AZ$76,MATCH($B854,Config!$B$13:$B$76,0),26),"")</f>
        <v/>
      </c>
      <c r="BA854" s="2" t="str">
        <f t="shared" si="30"/>
        <v/>
      </c>
    </row>
    <row r="855" spans="1:53" x14ac:dyDescent="0.15">
      <c r="A855" s="26" t="str">
        <f t="shared" si="29"/>
        <v/>
      </c>
      <c r="B855" s="14"/>
      <c r="C855" s="28" t="str">
        <f>IF(TRIM($B855)&lt;&gt;"",INDEX(Config!$B$13:$L$76,MATCH($B855,Config!$B$13:$B$76,0),2),"")</f>
        <v/>
      </c>
      <c r="D855" s="74"/>
      <c r="E855" s="14"/>
      <c r="F855" s="14"/>
      <c r="G855" s="14"/>
      <c r="H855" s="14"/>
      <c r="Z855" s="2" t="str">
        <f>IF($B855&lt;&gt;"",INDEX(Config!$B$13:$AZ$76,MATCH($B855,Config!$B$13:$B$76,0),26),"")</f>
        <v/>
      </c>
      <c r="BA855" s="2" t="str">
        <f t="shared" si="30"/>
        <v/>
      </c>
    </row>
    <row r="856" spans="1:53" x14ac:dyDescent="0.15">
      <c r="A856" s="26" t="str">
        <f t="shared" si="29"/>
        <v/>
      </c>
      <c r="B856" s="14"/>
      <c r="C856" s="28" t="str">
        <f>IF(TRIM($B856)&lt;&gt;"",INDEX(Config!$B$13:$L$76,MATCH($B856,Config!$B$13:$B$76,0),2),"")</f>
        <v/>
      </c>
      <c r="D856" s="74"/>
      <c r="E856" s="14"/>
      <c r="F856" s="14"/>
      <c r="G856" s="14"/>
      <c r="H856" s="14"/>
      <c r="Z856" s="2" t="str">
        <f>IF($B856&lt;&gt;"",INDEX(Config!$B$13:$AZ$76,MATCH($B856,Config!$B$13:$B$76,0),26),"")</f>
        <v/>
      </c>
      <c r="BA856" s="2" t="str">
        <f t="shared" si="30"/>
        <v/>
      </c>
    </row>
    <row r="857" spans="1:53" x14ac:dyDescent="0.15">
      <c r="A857" s="26" t="str">
        <f t="shared" si="29"/>
        <v/>
      </c>
      <c r="B857" s="14"/>
      <c r="C857" s="28" t="str">
        <f>IF(TRIM($B857)&lt;&gt;"",INDEX(Config!$B$13:$L$76,MATCH($B857,Config!$B$13:$B$76,0),2),"")</f>
        <v/>
      </c>
      <c r="D857" s="74"/>
      <c r="E857" s="14"/>
      <c r="F857" s="14"/>
      <c r="G857" s="14"/>
      <c r="H857" s="14"/>
      <c r="Z857" s="2" t="str">
        <f>IF($B857&lt;&gt;"",INDEX(Config!$B$13:$AZ$76,MATCH($B857,Config!$B$13:$B$76,0),26),"")</f>
        <v/>
      </c>
      <c r="BA857" s="2" t="str">
        <f t="shared" si="30"/>
        <v/>
      </c>
    </row>
    <row r="858" spans="1:53" x14ac:dyDescent="0.15">
      <c r="A858" s="26" t="str">
        <f t="shared" si="29"/>
        <v/>
      </c>
      <c r="B858" s="14"/>
      <c r="C858" s="28" t="str">
        <f>IF(TRIM($B858)&lt;&gt;"",INDEX(Config!$B$13:$L$76,MATCH($B858,Config!$B$13:$B$76,0),2),"")</f>
        <v/>
      </c>
      <c r="D858" s="74"/>
      <c r="E858" s="14"/>
      <c r="F858" s="14"/>
      <c r="G858" s="14"/>
      <c r="H858" s="14"/>
      <c r="Z858" s="2" t="str">
        <f>IF($B858&lt;&gt;"",INDEX(Config!$B$13:$AZ$76,MATCH($B858,Config!$B$13:$B$76,0),26),"")</f>
        <v/>
      </c>
      <c r="BA858" s="2" t="str">
        <f t="shared" si="30"/>
        <v/>
      </c>
    </row>
    <row r="859" spans="1:53" x14ac:dyDescent="0.15">
      <c r="A859" s="26" t="str">
        <f t="shared" si="29"/>
        <v/>
      </c>
      <c r="B859" s="14"/>
      <c r="C859" s="28" t="str">
        <f>IF(TRIM($B859)&lt;&gt;"",INDEX(Config!$B$13:$L$76,MATCH($B859,Config!$B$13:$B$76,0),2),"")</f>
        <v/>
      </c>
      <c r="D859" s="74"/>
      <c r="E859" s="14"/>
      <c r="F859" s="14"/>
      <c r="G859" s="14"/>
      <c r="H859" s="14"/>
      <c r="Z859" s="2" t="str">
        <f>IF($B859&lt;&gt;"",INDEX(Config!$B$13:$AZ$76,MATCH($B859,Config!$B$13:$B$76,0),26),"")</f>
        <v/>
      </c>
      <c r="BA859" s="2" t="str">
        <f t="shared" si="30"/>
        <v/>
      </c>
    </row>
    <row r="860" spans="1:53" x14ac:dyDescent="0.15">
      <c r="A860" s="26" t="str">
        <f t="shared" si="29"/>
        <v/>
      </c>
      <c r="B860" s="14"/>
      <c r="C860" s="28" t="str">
        <f>IF(TRIM($B860)&lt;&gt;"",INDEX(Config!$B$13:$L$76,MATCH($B860,Config!$B$13:$B$76,0),2),"")</f>
        <v/>
      </c>
      <c r="D860" s="74"/>
      <c r="E860" s="14"/>
      <c r="F860" s="14"/>
      <c r="G860" s="14"/>
      <c r="H860" s="14"/>
      <c r="Z860" s="2" t="str">
        <f>IF($B860&lt;&gt;"",INDEX(Config!$B$13:$AZ$76,MATCH($B860,Config!$B$13:$B$76,0),26),"")</f>
        <v/>
      </c>
      <c r="BA860" s="2" t="str">
        <f t="shared" si="30"/>
        <v/>
      </c>
    </row>
    <row r="861" spans="1:53" x14ac:dyDescent="0.15">
      <c r="A861" s="26" t="str">
        <f t="shared" si="29"/>
        <v/>
      </c>
      <c r="B861" s="14"/>
      <c r="C861" s="28" t="str">
        <f>IF(TRIM($B861)&lt;&gt;"",INDEX(Config!$B$13:$L$76,MATCH($B861,Config!$B$13:$B$76,0),2),"")</f>
        <v/>
      </c>
      <c r="D861" s="74"/>
      <c r="E861" s="14"/>
      <c r="F861" s="14"/>
      <c r="G861" s="14"/>
      <c r="H861" s="14"/>
      <c r="Z861" s="2" t="str">
        <f>IF($B861&lt;&gt;"",INDEX(Config!$B$13:$AZ$76,MATCH($B861,Config!$B$13:$B$76,0),26),"")</f>
        <v/>
      </c>
      <c r="BA861" s="2" t="str">
        <f t="shared" si="30"/>
        <v/>
      </c>
    </row>
    <row r="862" spans="1:53" x14ac:dyDescent="0.15">
      <c r="A862" s="26" t="str">
        <f t="shared" si="29"/>
        <v/>
      </c>
      <c r="B862" s="14"/>
      <c r="C862" s="28" t="str">
        <f>IF(TRIM($B862)&lt;&gt;"",INDEX(Config!$B$13:$L$76,MATCH($B862,Config!$B$13:$B$76,0),2),"")</f>
        <v/>
      </c>
      <c r="D862" s="74"/>
      <c r="E862" s="14"/>
      <c r="F862" s="14"/>
      <c r="G862" s="14"/>
      <c r="H862" s="14"/>
      <c r="Z862" s="2" t="str">
        <f>IF($B862&lt;&gt;"",INDEX(Config!$B$13:$AZ$76,MATCH($B862,Config!$B$13:$B$76,0),26),"")</f>
        <v/>
      </c>
      <c r="BA862" s="2" t="str">
        <f t="shared" si="30"/>
        <v/>
      </c>
    </row>
    <row r="863" spans="1:53" x14ac:dyDescent="0.15">
      <c r="A863" s="26" t="str">
        <f t="shared" si="29"/>
        <v/>
      </c>
      <c r="B863" s="14"/>
      <c r="C863" s="28" t="str">
        <f>IF(TRIM($B863)&lt;&gt;"",INDEX(Config!$B$13:$L$76,MATCH($B863,Config!$B$13:$B$76,0),2),"")</f>
        <v/>
      </c>
      <c r="D863" s="74"/>
      <c r="E863" s="14"/>
      <c r="F863" s="14"/>
      <c r="G863" s="14"/>
      <c r="H863" s="14"/>
      <c r="Z863" s="2" t="str">
        <f>IF($B863&lt;&gt;"",INDEX(Config!$B$13:$AZ$76,MATCH($B863,Config!$B$13:$B$76,0),26),"")</f>
        <v/>
      </c>
      <c r="BA863" s="2" t="str">
        <f t="shared" si="30"/>
        <v/>
      </c>
    </row>
    <row r="864" spans="1:53" x14ac:dyDescent="0.15">
      <c r="A864" s="26" t="str">
        <f t="shared" si="29"/>
        <v/>
      </c>
      <c r="B864" s="14"/>
      <c r="C864" s="28" t="str">
        <f>IF(TRIM($B864)&lt;&gt;"",INDEX(Config!$B$13:$L$76,MATCH($B864,Config!$B$13:$B$76,0),2),"")</f>
        <v/>
      </c>
      <c r="D864" s="74"/>
      <c r="E864" s="14"/>
      <c r="F864" s="14"/>
      <c r="G864" s="14"/>
      <c r="H864" s="14"/>
      <c r="Z864" s="2" t="str">
        <f>IF($B864&lt;&gt;"",INDEX(Config!$B$13:$AZ$76,MATCH($B864,Config!$B$13:$B$76,0),26),"")</f>
        <v/>
      </c>
      <c r="BA864" s="2" t="str">
        <f t="shared" si="30"/>
        <v/>
      </c>
    </row>
    <row r="865" spans="1:53" x14ac:dyDescent="0.15">
      <c r="A865" s="26" t="str">
        <f t="shared" si="29"/>
        <v/>
      </c>
      <c r="B865" s="14"/>
      <c r="C865" s="28" t="str">
        <f>IF(TRIM($B865)&lt;&gt;"",INDEX(Config!$B$13:$L$76,MATCH($B865,Config!$B$13:$B$76,0),2),"")</f>
        <v/>
      </c>
      <c r="D865" s="74"/>
      <c r="E865" s="14"/>
      <c r="F865" s="14"/>
      <c r="G865" s="14"/>
      <c r="H865" s="14"/>
      <c r="Z865" s="2" t="str">
        <f>IF($B865&lt;&gt;"",INDEX(Config!$B$13:$AZ$76,MATCH($B865,Config!$B$13:$B$76,0),26),"")</f>
        <v/>
      </c>
      <c r="BA865" s="2" t="str">
        <f t="shared" si="30"/>
        <v/>
      </c>
    </row>
    <row r="866" spans="1:53" x14ac:dyDescent="0.15">
      <c r="A866" s="26" t="str">
        <f t="shared" si="29"/>
        <v/>
      </c>
      <c r="B866" s="14"/>
      <c r="C866" s="28" t="str">
        <f>IF(TRIM($B866)&lt;&gt;"",INDEX(Config!$B$13:$L$76,MATCH($B866,Config!$B$13:$B$76,0),2),"")</f>
        <v/>
      </c>
      <c r="D866" s="74"/>
      <c r="E866" s="14"/>
      <c r="F866" s="14"/>
      <c r="G866" s="14"/>
      <c r="H866" s="14"/>
      <c r="Z866" s="2" t="str">
        <f>IF($B866&lt;&gt;"",INDEX(Config!$B$13:$AZ$76,MATCH($B866,Config!$B$13:$B$76,0),26),"")</f>
        <v/>
      </c>
      <c r="BA866" s="2" t="str">
        <f t="shared" si="30"/>
        <v/>
      </c>
    </row>
    <row r="867" spans="1:53" x14ac:dyDescent="0.15">
      <c r="A867" s="26" t="str">
        <f t="shared" si="29"/>
        <v/>
      </c>
      <c r="B867" s="14"/>
      <c r="C867" s="28" t="str">
        <f>IF(TRIM($B867)&lt;&gt;"",INDEX(Config!$B$13:$L$76,MATCH($B867,Config!$B$13:$B$76,0),2),"")</f>
        <v/>
      </c>
      <c r="D867" s="74"/>
      <c r="E867" s="14"/>
      <c r="F867" s="14"/>
      <c r="G867" s="14"/>
      <c r="H867" s="14"/>
      <c r="Z867" s="2" t="str">
        <f>IF($B867&lt;&gt;"",INDEX(Config!$B$13:$AZ$76,MATCH($B867,Config!$B$13:$B$76,0),26),"")</f>
        <v/>
      </c>
      <c r="BA867" s="2" t="str">
        <f t="shared" si="30"/>
        <v/>
      </c>
    </row>
    <row r="868" spans="1:53" x14ac:dyDescent="0.15">
      <c r="A868" s="26" t="str">
        <f t="shared" si="29"/>
        <v/>
      </c>
      <c r="B868" s="14"/>
      <c r="C868" s="28" t="str">
        <f>IF(TRIM($B868)&lt;&gt;"",INDEX(Config!$B$13:$L$76,MATCH($B868,Config!$B$13:$B$76,0),2),"")</f>
        <v/>
      </c>
      <c r="D868" s="74"/>
      <c r="E868" s="14"/>
      <c r="F868" s="14"/>
      <c r="G868" s="14"/>
      <c r="H868" s="14"/>
      <c r="Z868" s="2" t="str">
        <f>IF($B868&lt;&gt;"",INDEX(Config!$B$13:$AZ$76,MATCH($B868,Config!$B$13:$B$76,0),26),"")</f>
        <v/>
      </c>
      <c r="BA868" s="2" t="str">
        <f t="shared" si="30"/>
        <v/>
      </c>
    </row>
    <row r="869" spans="1:53" x14ac:dyDescent="0.15">
      <c r="A869" s="26" t="str">
        <f t="shared" si="29"/>
        <v/>
      </c>
      <c r="B869" s="14"/>
      <c r="C869" s="28" t="str">
        <f>IF(TRIM($B869)&lt;&gt;"",INDEX(Config!$B$13:$L$76,MATCH($B869,Config!$B$13:$B$76,0),2),"")</f>
        <v/>
      </c>
      <c r="D869" s="74"/>
      <c r="E869" s="14"/>
      <c r="F869" s="14"/>
      <c r="G869" s="14"/>
      <c r="H869" s="14"/>
      <c r="Z869" s="2" t="str">
        <f>IF($B869&lt;&gt;"",INDEX(Config!$B$13:$AZ$76,MATCH($B869,Config!$B$13:$B$76,0),26),"")</f>
        <v/>
      </c>
      <c r="BA869" s="2" t="str">
        <f t="shared" si="30"/>
        <v/>
      </c>
    </row>
    <row r="870" spans="1:53" x14ac:dyDescent="0.15">
      <c r="A870" s="26" t="str">
        <f t="shared" si="29"/>
        <v/>
      </c>
      <c r="B870" s="14"/>
      <c r="C870" s="28" t="str">
        <f>IF(TRIM($B870)&lt;&gt;"",INDEX(Config!$B$13:$L$76,MATCH($B870,Config!$B$13:$B$76,0),2),"")</f>
        <v/>
      </c>
      <c r="D870" s="74"/>
      <c r="E870" s="14"/>
      <c r="F870" s="14"/>
      <c r="G870" s="14"/>
      <c r="H870" s="14"/>
      <c r="Z870" s="2" t="str">
        <f>IF($B870&lt;&gt;"",INDEX(Config!$B$13:$AZ$76,MATCH($B870,Config!$B$13:$B$76,0),26),"")</f>
        <v/>
      </c>
      <c r="BA870" s="2" t="str">
        <f t="shared" si="30"/>
        <v/>
      </c>
    </row>
    <row r="871" spans="1:53" x14ac:dyDescent="0.15">
      <c r="A871" s="26" t="str">
        <f t="shared" si="29"/>
        <v/>
      </c>
      <c r="B871" s="14"/>
      <c r="C871" s="28" t="str">
        <f>IF(TRIM($B871)&lt;&gt;"",INDEX(Config!$B$13:$L$76,MATCH($B871,Config!$B$13:$B$76,0),2),"")</f>
        <v/>
      </c>
      <c r="D871" s="74"/>
      <c r="E871" s="14"/>
      <c r="F871" s="14"/>
      <c r="G871" s="14"/>
      <c r="H871" s="14"/>
      <c r="Z871" s="2" t="str">
        <f>IF($B871&lt;&gt;"",INDEX(Config!$B$13:$AZ$76,MATCH($B871,Config!$B$13:$B$76,0),26),"")</f>
        <v/>
      </c>
      <c r="BA871" s="2" t="str">
        <f t="shared" si="30"/>
        <v/>
      </c>
    </row>
    <row r="872" spans="1:53" x14ac:dyDescent="0.15">
      <c r="A872" s="26" t="str">
        <f t="shared" si="29"/>
        <v/>
      </c>
      <c r="B872" s="14"/>
      <c r="C872" s="28" t="str">
        <f>IF(TRIM($B872)&lt;&gt;"",INDEX(Config!$B$13:$L$76,MATCH($B872,Config!$B$13:$B$76,0),2),"")</f>
        <v/>
      </c>
      <c r="D872" s="74"/>
      <c r="E872" s="14"/>
      <c r="F872" s="14"/>
      <c r="G872" s="14"/>
      <c r="H872" s="14"/>
      <c r="Z872" s="2" t="str">
        <f>IF($B872&lt;&gt;"",INDEX(Config!$B$13:$AZ$76,MATCH($B872,Config!$B$13:$B$76,0),26),"")</f>
        <v/>
      </c>
      <c r="BA872" s="2" t="str">
        <f t="shared" si="30"/>
        <v/>
      </c>
    </row>
    <row r="873" spans="1:53" x14ac:dyDescent="0.15">
      <c r="A873" s="26" t="str">
        <f t="shared" si="29"/>
        <v/>
      </c>
      <c r="B873" s="14"/>
      <c r="C873" s="28" t="str">
        <f>IF(TRIM($B873)&lt;&gt;"",INDEX(Config!$B$13:$L$76,MATCH($B873,Config!$B$13:$B$76,0),2),"")</f>
        <v/>
      </c>
      <c r="D873" s="74"/>
      <c r="E873" s="14"/>
      <c r="F873" s="14"/>
      <c r="G873" s="14"/>
      <c r="H873" s="14"/>
      <c r="Z873" s="2" t="str">
        <f>IF($B873&lt;&gt;"",INDEX(Config!$B$13:$AZ$76,MATCH($B873,Config!$B$13:$B$76,0),26),"")</f>
        <v/>
      </c>
      <c r="BA873" s="2" t="str">
        <f t="shared" si="30"/>
        <v/>
      </c>
    </row>
    <row r="874" spans="1:53" x14ac:dyDescent="0.15">
      <c r="A874" s="26" t="str">
        <f t="shared" si="29"/>
        <v/>
      </c>
      <c r="B874" s="14"/>
      <c r="C874" s="28" t="str">
        <f>IF(TRIM($B874)&lt;&gt;"",INDEX(Config!$B$13:$L$76,MATCH($B874,Config!$B$13:$B$76,0),2),"")</f>
        <v/>
      </c>
      <c r="D874" s="74"/>
      <c r="E874" s="14"/>
      <c r="F874" s="14"/>
      <c r="G874" s="14"/>
      <c r="H874" s="14"/>
      <c r="Z874" s="2" t="str">
        <f>IF($B874&lt;&gt;"",INDEX(Config!$B$13:$AZ$76,MATCH($B874,Config!$B$13:$B$76,0),26),"")</f>
        <v/>
      </c>
      <c r="BA874" s="2" t="str">
        <f t="shared" si="30"/>
        <v/>
      </c>
    </row>
    <row r="875" spans="1:53" x14ac:dyDescent="0.15">
      <c r="A875" s="26" t="str">
        <f t="shared" si="29"/>
        <v/>
      </c>
      <c r="B875" s="14"/>
      <c r="C875" s="28" t="str">
        <f>IF(TRIM($B875)&lt;&gt;"",INDEX(Config!$B$13:$L$76,MATCH($B875,Config!$B$13:$B$76,0),2),"")</f>
        <v/>
      </c>
      <c r="D875" s="74"/>
      <c r="E875" s="14"/>
      <c r="F875" s="14"/>
      <c r="G875" s="14"/>
      <c r="H875" s="14"/>
      <c r="Z875" s="2" t="str">
        <f>IF($B875&lt;&gt;"",INDEX(Config!$B$13:$AZ$76,MATCH($B875,Config!$B$13:$B$76,0),26),"")</f>
        <v/>
      </c>
      <c r="BA875" s="2" t="str">
        <f t="shared" si="30"/>
        <v/>
      </c>
    </row>
    <row r="876" spans="1:53" x14ac:dyDescent="0.15">
      <c r="A876" s="26" t="str">
        <f t="shared" si="29"/>
        <v/>
      </c>
      <c r="B876" s="14"/>
      <c r="C876" s="28" t="str">
        <f>IF(TRIM($B876)&lt;&gt;"",INDEX(Config!$B$13:$L$76,MATCH($B876,Config!$B$13:$B$76,0),2),"")</f>
        <v/>
      </c>
      <c r="D876" s="74"/>
      <c r="E876" s="14"/>
      <c r="F876" s="14"/>
      <c r="G876" s="14"/>
      <c r="H876" s="14"/>
      <c r="Z876" s="2" t="str">
        <f>IF($B876&lt;&gt;"",INDEX(Config!$B$13:$AZ$76,MATCH($B876,Config!$B$13:$B$76,0),26),"")</f>
        <v/>
      </c>
      <c r="BA876" s="2" t="str">
        <f t="shared" si="30"/>
        <v/>
      </c>
    </row>
    <row r="877" spans="1:53" x14ac:dyDescent="0.15">
      <c r="A877" s="26" t="str">
        <f t="shared" si="29"/>
        <v/>
      </c>
      <c r="B877" s="14"/>
      <c r="C877" s="28" t="str">
        <f>IF(TRIM($B877)&lt;&gt;"",INDEX(Config!$B$13:$L$76,MATCH($B877,Config!$B$13:$B$76,0),2),"")</f>
        <v/>
      </c>
      <c r="D877" s="74"/>
      <c r="E877" s="14"/>
      <c r="F877" s="14"/>
      <c r="G877" s="14"/>
      <c r="H877" s="14"/>
      <c r="Z877" s="2" t="str">
        <f>IF($B877&lt;&gt;"",INDEX(Config!$B$13:$AZ$76,MATCH($B877,Config!$B$13:$B$76,0),26),"")</f>
        <v/>
      </c>
      <c r="BA877" s="2" t="str">
        <f t="shared" si="30"/>
        <v/>
      </c>
    </row>
    <row r="878" spans="1:53" x14ac:dyDescent="0.15">
      <c r="A878" s="26" t="str">
        <f t="shared" si="29"/>
        <v/>
      </c>
      <c r="B878" s="14"/>
      <c r="C878" s="28" t="str">
        <f>IF(TRIM($B878)&lt;&gt;"",INDEX(Config!$B$13:$L$76,MATCH($B878,Config!$B$13:$B$76,0),2),"")</f>
        <v/>
      </c>
      <c r="D878" s="74"/>
      <c r="E878" s="14"/>
      <c r="F878" s="14"/>
      <c r="G878" s="14"/>
      <c r="H878" s="14"/>
      <c r="Z878" s="2" t="str">
        <f>IF($B878&lt;&gt;"",INDEX(Config!$B$13:$AZ$76,MATCH($B878,Config!$B$13:$B$76,0),26),"")</f>
        <v/>
      </c>
      <c r="BA878" s="2" t="str">
        <f t="shared" si="30"/>
        <v/>
      </c>
    </row>
    <row r="879" spans="1:53" x14ac:dyDescent="0.15">
      <c r="A879" s="26" t="str">
        <f t="shared" si="29"/>
        <v/>
      </c>
      <c r="B879" s="14"/>
      <c r="C879" s="28" t="str">
        <f>IF(TRIM($B879)&lt;&gt;"",INDEX(Config!$B$13:$L$76,MATCH($B879,Config!$B$13:$B$76,0),2),"")</f>
        <v/>
      </c>
      <c r="D879" s="74"/>
      <c r="E879" s="14"/>
      <c r="F879" s="14"/>
      <c r="G879" s="14"/>
      <c r="H879" s="14"/>
      <c r="Z879" s="2" t="str">
        <f>IF($B879&lt;&gt;"",INDEX(Config!$B$13:$AZ$76,MATCH($B879,Config!$B$13:$B$76,0),26),"")</f>
        <v/>
      </c>
      <c r="BA879" s="2" t="str">
        <f t="shared" si="30"/>
        <v/>
      </c>
    </row>
    <row r="880" spans="1:53" x14ac:dyDescent="0.15">
      <c r="A880" s="26" t="str">
        <f t="shared" si="29"/>
        <v/>
      </c>
      <c r="B880" s="14"/>
      <c r="C880" s="28" t="str">
        <f>IF(TRIM($B880)&lt;&gt;"",INDEX(Config!$B$13:$L$76,MATCH($B880,Config!$B$13:$B$76,0),2),"")</f>
        <v/>
      </c>
      <c r="D880" s="74"/>
      <c r="E880" s="14"/>
      <c r="F880" s="14"/>
      <c r="G880" s="14"/>
      <c r="H880" s="14"/>
      <c r="Z880" s="2" t="str">
        <f>IF($B880&lt;&gt;"",INDEX(Config!$B$13:$AZ$76,MATCH($B880,Config!$B$13:$B$76,0),26),"")</f>
        <v/>
      </c>
      <c r="BA880" s="2" t="str">
        <f t="shared" si="30"/>
        <v/>
      </c>
    </row>
    <row r="881" spans="1:53" x14ac:dyDescent="0.15">
      <c r="A881" s="26" t="str">
        <f t="shared" si="29"/>
        <v/>
      </c>
      <c r="B881" s="14"/>
      <c r="C881" s="28" t="str">
        <f>IF(TRIM($B881)&lt;&gt;"",INDEX(Config!$B$13:$L$76,MATCH($B881,Config!$B$13:$B$76,0),2),"")</f>
        <v/>
      </c>
      <c r="D881" s="74"/>
      <c r="E881" s="14"/>
      <c r="F881" s="14"/>
      <c r="G881" s="14"/>
      <c r="H881" s="14"/>
      <c r="Z881" s="2" t="str">
        <f>IF($B881&lt;&gt;"",INDEX(Config!$B$13:$AZ$76,MATCH($B881,Config!$B$13:$B$76,0),26),"")</f>
        <v/>
      </c>
      <c r="BA881" s="2" t="str">
        <f t="shared" si="30"/>
        <v/>
      </c>
    </row>
    <row r="882" spans="1:53" x14ac:dyDescent="0.15">
      <c r="A882" s="26" t="str">
        <f t="shared" si="29"/>
        <v/>
      </c>
      <c r="B882" s="14"/>
      <c r="C882" s="28" t="str">
        <f>IF(TRIM($B882)&lt;&gt;"",INDEX(Config!$B$13:$L$76,MATCH($B882,Config!$B$13:$B$76,0),2),"")</f>
        <v/>
      </c>
      <c r="D882" s="74"/>
      <c r="E882" s="14"/>
      <c r="F882" s="14"/>
      <c r="G882" s="14"/>
      <c r="H882" s="14"/>
      <c r="Z882" s="2" t="str">
        <f>IF($B882&lt;&gt;"",INDEX(Config!$B$13:$AZ$76,MATCH($B882,Config!$B$13:$B$76,0),26),"")</f>
        <v/>
      </c>
      <c r="BA882" s="2" t="str">
        <f t="shared" si="30"/>
        <v/>
      </c>
    </row>
    <row r="883" spans="1:53" x14ac:dyDescent="0.15">
      <c r="A883" s="26" t="str">
        <f t="shared" si="29"/>
        <v/>
      </c>
      <c r="B883" s="14"/>
      <c r="C883" s="28" t="str">
        <f>IF(TRIM($B883)&lt;&gt;"",INDEX(Config!$B$13:$L$76,MATCH($B883,Config!$B$13:$B$76,0),2),"")</f>
        <v/>
      </c>
      <c r="D883" s="74"/>
      <c r="E883" s="14"/>
      <c r="F883" s="14"/>
      <c r="G883" s="14"/>
      <c r="H883" s="14"/>
      <c r="Z883" s="2" t="str">
        <f>IF($B883&lt;&gt;"",INDEX(Config!$B$13:$AZ$76,MATCH($B883,Config!$B$13:$B$76,0),26),"")</f>
        <v/>
      </c>
      <c r="BA883" s="2" t="str">
        <f t="shared" si="30"/>
        <v/>
      </c>
    </row>
    <row r="884" spans="1:53" x14ac:dyDescent="0.15">
      <c r="A884" s="26" t="str">
        <f t="shared" si="29"/>
        <v/>
      </c>
      <c r="B884" s="14"/>
      <c r="C884" s="28" t="str">
        <f>IF(TRIM($B884)&lt;&gt;"",INDEX(Config!$B$13:$L$76,MATCH($B884,Config!$B$13:$B$76,0),2),"")</f>
        <v/>
      </c>
      <c r="D884" s="74"/>
      <c r="E884" s="14"/>
      <c r="F884" s="14"/>
      <c r="G884" s="14"/>
      <c r="H884" s="14"/>
      <c r="Z884" s="2" t="str">
        <f>IF($B884&lt;&gt;"",INDEX(Config!$B$13:$AZ$76,MATCH($B884,Config!$B$13:$B$76,0),26),"")</f>
        <v/>
      </c>
      <c r="BA884" s="2" t="str">
        <f t="shared" si="30"/>
        <v/>
      </c>
    </row>
    <row r="885" spans="1:53" x14ac:dyDescent="0.15">
      <c r="A885" s="26" t="str">
        <f t="shared" si="29"/>
        <v/>
      </c>
      <c r="B885" s="14"/>
      <c r="C885" s="28" t="str">
        <f>IF(TRIM($B885)&lt;&gt;"",INDEX(Config!$B$13:$L$76,MATCH($B885,Config!$B$13:$B$76,0),2),"")</f>
        <v/>
      </c>
      <c r="D885" s="74"/>
      <c r="E885" s="14"/>
      <c r="F885" s="14"/>
      <c r="G885" s="14"/>
      <c r="H885" s="14"/>
      <c r="Z885" s="2" t="str">
        <f>IF($B885&lt;&gt;"",INDEX(Config!$B$13:$AZ$76,MATCH($B885,Config!$B$13:$B$76,0),26),"")</f>
        <v/>
      </c>
      <c r="BA885" s="2" t="str">
        <f t="shared" si="30"/>
        <v/>
      </c>
    </row>
    <row r="886" spans="1:53" x14ac:dyDescent="0.15">
      <c r="A886" s="26" t="str">
        <f t="shared" si="29"/>
        <v/>
      </c>
      <c r="B886" s="14"/>
      <c r="C886" s="28" t="str">
        <f>IF(TRIM($B886)&lt;&gt;"",INDEX(Config!$B$13:$L$76,MATCH($B886,Config!$B$13:$B$76,0),2),"")</f>
        <v/>
      </c>
      <c r="D886" s="74"/>
      <c r="E886" s="14"/>
      <c r="F886" s="14"/>
      <c r="G886" s="14"/>
      <c r="H886" s="14"/>
      <c r="Z886" s="2" t="str">
        <f>IF($B886&lt;&gt;"",INDEX(Config!$B$13:$AZ$76,MATCH($B886,Config!$B$13:$B$76,0),26),"")</f>
        <v/>
      </c>
      <c r="BA886" s="2" t="str">
        <f t="shared" si="30"/>
        <v/>
      </c>
    </row>
    <row r="887" spans="1:53" x14ac:dyDescent="0.15">
      <c r="A887" s="26" t="str">
        <f t="shared" si="29"/>
        <v/>
      </c>
      <c r="B887" s="14"/>
      <c r="C887" s="28" t="str">
        <f>IF(TRIM($B887)&lt;&gt;"",INDEX(Config!$B$13:$L$76,MATCH($B887,Config!$B$13:$B$76,0),2),"")</f>
        <v/>
      </c>
      <c r="D887" s="74"/>
      <c r="E887" s="14"/>
      <c r="F887" s="14"/>
      <c r="G887" s="14"/>
      <c r="H887" s="14"/>
      <c r="Z887" s="2" t="str">
        <f>IF($B887&lt;&gt;"",INDEX(Config!$B$13:$AZ$76,MATCH($B887,Config!$B$13:$B$76,0),26),"")</f>
        <v/>
      </c>
      <c r="BA887" s="2" t="str">
        <f t="shared" si="30"/>
        <v/>
      </c>
    </row>
    <row r="888" spans="1:53" x14ac:dyDescent="0.15">
      <c r="A888" s="26" t="str">
        <f t="shared" si="29"/>
        <v/>
      </c>
      <c r="B888" s="14"/>
      <c r="C888" s="28" t="str">
        <f>IF(TRIM($B888)&lt;&gt;"",INDEX(Config!$B$13:$L$76,MATCH($B888,Config!$B$13:$B$76,0),2),"")</f>
        <v/>
      </c>
      <c r="D888" s="74"/>
      <c r="E888" s="14"/>
      <c r="F888" s="14"/>
      <c r="G888" s="14"/>
      <c r="H888" s="14"/>
      <c r="Z888" s="2" t="str">
        <f>IF($B888&lt;&gt;"",INDEX(Config!$B$13:$AZ$76,MATCH($B888,Config!$B$13:$B$76,0),26),"")</f>
        <v/>
      </c>
      <c r="BA888" s="2" t="str">
        <f t="shared" si="30"/>
        <v/>
      </c>
    </row>
    <row r="889" spans="1:53" x14ac:dyDescent="0.15">
      <c r="A889" s="26" t="str">
        <f t="shared" si="29"/>
        <v/>
      </c>
      <c r="B889" s="14"/>
      <c r="C889" s="28" t="str">
        <f>IF(TRIM($B889)&lt;&gt;"",INDEX(Config!$B$13:$L$76,MATCH($B889,Config!$B$13:$B$76,0),2),"")</f>
        <v/>
      </c>
      <c r="D889" s="74"/>
      <c r="E889" s="14"/>
      <c r="F889" s="14"/>
      <c r="G889" s="14"/>
      <c r="H889" s="14"/>
      <c r="Z889" s="2" t="str">
        <f>IF($B889&lt;&gt;"",INDEX(Config!$B$13:$AZ$76,MATCH($B889,Config!$B$13:$B$76,0),26),"")</f>
        <v/>
      </c>
      <c r="BA889" s="2" t="str">
        <f t="shared" si="30"/>
        <v/>
      </c>
    </row>
    <row r="890" spans="1:53" x14ac:dyDescent="0.15">
      <c r="A890" s="26" t="str">
        <f t="shared" si="29"/>
        <v/>
      </c>
      <c r="B890" s="14"/>
      <c r="C890" s="28" t="str">
        <f>IF(TRIM($B890)&lt;&gt;"",INDEX(Config!$B$13:$L$76,MATCH($B890,Config!$B$13:$B$76,0),2),"")</f>
        <v/>
      </c>
      <c r="D890" s="74"/>
      <c r="E890" s="14"/>
      <c r="F890" s="14"/>
      <c r="G890" s="14"/>
      <c r="H890" s="14"/>
      <c r="Z890" s="2" t="str">
        <f>IF($B890&lt;&gt;"",INDEX(Config!$B$13:$AZ$76,MATCH($B890,Config!$B$13:$B$76,0),26),"")</f>
        <v/>
      </c>
      <c r="BA890" s="2" t="str">
        <f t="shared" si="30"/>
        <v/>
      </c>
    </row>
    <row r="891" spans="1:53" x14ac:dyDescent="0.15">
      <c r="A891" s="26" t="str">
        <f t="shared" si="29"/>
        <v/>
      </c>
      <c r="B891" s="14"/>
      <c r="C891" s="28" t="str">
        <f>IF(TRIM($B891)&lt;&gt;"",INDEX(Config!$B$13:$L$76,MATCH($B891,Config!$B$13:$B$76,0),2),"")</f>
        <v/>
      </c>
      <c r="D891" s="74"/>
      <c r="E891" s="14"/>
      <c r="F891" s="14"/>
      <c r="G891" s="14"/>
      <c r="H891" s="14"/>
      <c r="Z891" s="2" t="str">
        <f>IF($B891&lt;&gt;"",INDEX(Config!$B$13:$AZ$76,MATCH($B891,Config!$B$13:$B$76,0),26),"")</f>
        <v/>
      </c>
      <c r="BA891" s="2" t="str">
        <f t="shared" si="30"/>
        <v/>
      </c>
    </row>
    <row r="892" spans="1:53" x14ac:dyDescent="0.15">
      <c r="A892" s="26" t="str">
        <f t="shared" si="29"/>
        <v/>
      </c>
      <c r="B892" s="14"/>
      <c r="C892" s="28" t="str">
        <f>IF(TRIM($B892)&lt;&gt;"",INDEX(Config!$B$13:$L$76,MATCH($B892,Config!$B$13:$B$76,0),2),"")</f>
        <v/>
      </c>
      <c r="D892" s="74"/>
      <c r="E892" s="14"/>
      <c r="F892" s="14"/>
      <c r="G892" s="14"/>
      <c r="H892" s="14"/>
      <c r="Z892" s="2" t="str">
        <f>IF($B892&lt;&gt;"",INDEX(Config!$B$13:$AZ$76,MATCH($B892,Config!$B$13:$B$76,0),26),"")</f>
        <v/>
      </c>
      <c r="BA892" s="2" t="str">
        <f t="shared" si="30"/>
        <v/>
      </c>
    </row>
    <row r="893" spans="1:53" x14ac:dyDescent="0.15">
      <c r="A893" s="26" t="str">
        <f t="shared" si="29"/>
        <v/>
      </c>
      <c r="B893" s="14"/>
      <c r="C893" s="28" t="str">
        <f>IF(TRIM($B893)&lt;&gt;"",INDEX(Config!$B$13:$L$76,MATCH($B893,Config!$B$13:$B$76,0),2),"")</f>
        <v/>
      </c>
      <c r="D893" s="74"/>
      <c r="E893" s="14"/>
      <c r="F893" s="14"/>
      <c r="G893" s="14"/>
      <c r="H893" s="14"/>
      <c r="Z893" s="2" t="str">
        <f>IF($B893&lt;&gt;"",INDEX(Config!$B$13:$AZ$76,MATCH($B893,Config!$B$13:$B$76,0),26),"")</f>
        <v/>
      </c>
      <c r="BA893" s="2" t="str">
        <f t="shared" si="30"/>
        <v/>
      </c>
    </row>
    <row r="894" spans="1:53" x14ac:dyDescent="0.15">
      <c r="A894" s="26" t="str">
        <f t="shared" si="29"/>
        <v/>
      </c>
      <c r="B894" s="14"/>
      <c r="C894" s="28" t="str">
        <f>IF(TRIM($B894)&lt;&gt;"",INDEX(Config!$B$13:$L$76,MATCH($B894,Config!$B$13:$B$76,0),2),"")</f>
        <v/>
      </c>
      <c r="D894" s="74"/>
      <c r="E894" s="14"/>
      <c r="F894" s="14"/>
      <c r="G894" s="14"/>
      <c r="H894" s="14"/>
      <c r="Z894" s="2" t="str">
        <f>IF($B894&lt;&gt;"",INDEX(Config!$B$13:$AZ$76,MATCH($B894,Config!$B$13:$B$76,0),26),"")</f>
        <v/>
      </c>
      <c r="BA894" s="2" t="str">
        <f t="shared" si="30"/>
        <v/>
      </c>
    </row>
    <row r="895" spans="1:53" x14ac:dyDescent="0.15">
      <c r="A895" s="26" t="str">
        <f t="shared" si="29"/>
        <v/>
      </c>
      <c r="B895" s="14"/>
      <c r="C895" s="28" t="str">
        <f>IF(TRIM($B895)&lt;&gt;"",INDEX(Config!$B$13:$L$76,MATCH($B895,Config!$B$13:$B$76,0),2),"")</f>
        <v/>
      </c>
      <c r="D895" s="74"/>
      <c r="E895" s="14"/>
      <c r="F895" s="14"/>
      <c r="G895" s="14"/>
      <c r="H895" s="14"/>
      <c r="Z895" s="2" t="str">
        <f>IF($B895&lt;&gt;"",INDEX(Config!$B$13:$AZ$76,MATCH($B895,Config!$B$13:$B$76,0),26),"")</f>
        <v/>
      </c>
      <c r="BA895" s="2" t="str">
        <f t="shared" si="30"/>
        <v/>
      </c>
    </row>
    <row r="896" spans="1:53" x14ac:dyDescent="0.15">
      <c r="A896" s="26" t="str">
        <f t="shared" si="29"/>
        <v/>
      </c>
      <c r="B896" s="14"/>
      <c r="C896" s="28" t="str">
        <f>IF(TRIM($B896)&lt;&gt;"",INDEX(Config!$B$13:$L$76,MATCH($B896,Config!$B$13:$B$76,0),2),"")</f>
        <v/>
      </c>
      <c r="D896" s="74"/>
      <c r="E896" s="14"/>
      <c r="F896" s="14"/>
      <c r="G896" s="14"/>
      <c r="H896" s="14"/>
      <c r="Z896" s="2" t="str">
        <f>IF($B896&lt;&gt;"",INDEX(Config!$B$13:$AZ$76,MATCH($B896,Config!$B$13:$B$76,0),26),"")</f>
        <v/>
      </c>
      <c r="BA896" s="2" t="str">
        <f t="shared" si="30"/>
        <v/>
      </c>
    </row>
    <row r="897" spans="1:53" x14ac:dyDescent="0.15">
      <c r="A897" s="26" t="str">
        <f t="shared" si="29"/>
        <v/>
      </c>
      <c r="B897" s="14"/>
      <c r="C897" s="28" t="str">
        <f>IF(TRIM($B897)&lt;&gt;"",INDEX(Config!$B$13:$L$76,MATCH($B897,Config!$B$13:$B$76,0),2),"")</f>
        <v/>
      </c>
      <c r="D897" s="74"/>
      <c r="E897" s="14"/>
      <c r="F897" s="14"/>
      <c r="G897" s="14"/>
      <c r="H897" s="14"/>
      <c r="Z897" s="2" t="str">
        <f>IF($B897&lt;&gt;"",INDEX(Config!$B$13:$AZ$76,MATCH($B897,Config!$B$13:$B$76,0),26),"")</f>
        <v/>
      </c>
      <c r="BA897" s="2" t="str">
        <f t="shared" si="30"/>
        <v/>
      </c>
    </row>
    <row r="898" spans="1:53" x14ac:dyDescent="0.15">
      <c r="A898" s="26" t="str">
        <f t="shared" si="29"/>
        <v/>
      </c>
      <c r="B898" s="14"/>
      <c r="C898" s="28" t="str">
        <f>IF(TRIM($B898)&lt;&gt;"",INDEX(Config!$B$13:$L$76,MATCH($B898,Config!$B$13:$B$76,0),2),"")</f>
        <v/>
      </c>
      <c r="D898" s="74"/>
      <c r="E898" s="14"/>
      <c r="F898" s="14"/>
      <c r="G898" s="14"/>
      <c r="H898" s="14"/>
      <c r="Z898" s="2" t="str">
        <f>IF($B898&lt;&gt;"",INDEX(Config!$B$13:$AZ$76,MATCH($B898,Config!$B$13:$B$76,0),26),"")</f>
        <v/>
      </c>
      <c r="BA898" s="2" t="str">
        <f t="shared" si="30"/>
        <v/>
      </c>
    </row>
    <row r="899" spans="1:53" x14ac:dyDescent="0.15">
      <c r="A899" s="26" t="str">
        <f t="shared" si="29"/>
        <v/>
      </c>
      <c r="B899" s="14"/>
      <c r="C899" s="28" t="str">
        <f>IF(TRIM($B899)&lt;&gt;"",INDEX(Config!$B$13:$L$76,MATCH($B899,Config!$B$13:$B$76,0),2),"")</f>
        <v/>
      </c>
      <c r="D899" s="74"/>
      <c r="E899" s="14"/>
      <c r="F899" s="14"/>
      <c r="G899" s="14"/>
      <c r="H899" s="14"/>
      <c r="Z899" s="2" t="str">
        <f>IF($B899&lt;&gt;"",INDEX(Config!$B$13:$AZ$76,MATCH($B899,Config!$B$13:$B$76,0),26),"")</f>
        <v/>
      </c>
      <c r="BA899" s="2" t="str">
        <f t="shared" si="30"/>
        <v/>
      </c>
    </row>
    <row r="900" spans="1:53" x14ac:dyDescent="0.15">
      <c r="A900" s="26" t="str">
        <f t="shared" si="29"/>
        <v/>
      </c>
      <c r="B900" s="14"/>
      <c r="C900" s="28" t="str">
        <f>IF(TRIM($B900)&lt;&gt;"",INDEX(Config!$B$13:$L$76,MATCH($B900,Config!$B$13:$B$76,0),2),"")</f>
        <v/>
      </c>
      <c r="D900" s="74"/>
      <c r="E900" s="14"/>
      <c r="F900" s="14"/>
      <c r="G900" s="14"/>
      <c r="H900" s="14"/>
      <c r="Z900" s="2" t="str">
        <f>IF($B900&lt;&gt;"",INDEX(Config!$B$13:$AZ$76,MATCH($B900,Config!$B$13:$B$76,0),26),"")</f>
        <v/>
      </c>
      <c r="BA900" s="2" t="str">
        <f t="shared" si="30"/>
        <v/>
      </c>
    </row>
    <row r="901" spans="1:53" x14ac:dyDescent="0.15">
      <c r="A901" s="26" t="str">
        <f t="shared" si="29"/>
        <v/>
      </c>
      <c r="B901" s="14"/>
      <c r="C901" s="28" t="str">
        <f>IF(TRIM($B901)&lt;&gt;"",INDEX(Config!$B$13:$L$76,MATCH($B901,Config!$B$13:$B$76,0),2),"")</f>
        <v/>
      </c>
      <c r="D901" s="74"/>
      <c r="E901" s="14"/>
      <c r="F901" s="14"/>
      <c r="G901" s="14"/>
      <c r="H901" s="14"/>
      <c r="Z901" s="2" t="str">
        <f>IF($B901&lt;&gt;"",INDEX(Config!$B$13:$AZ$76,MATCH($B901,Config!$B$13:$B$76,0),26),"")</f>
        <v/>
      </c>
      <c r="BA901" s="2" t="str">
        <f t="shared" si="30"/>
        <v/>
      </c>
    </row>
    <row r="902" spans="1:53" x14ac:dyDescent="0.15">
      <c r="A902" s="26" t="str">
        <f t="shared" si="29"/>
        <v/>
      </c>
      <c r="B902" s="14"/>
      <c r="C902" s="28" t="str">
        <f>IF(TRIM($B902)&lt;&gt;"",INDEX(Config!$B$13:$L$76,MATCH($B902,Config!$B$13:$B$76,0),2),"")</f>
        <v/>
      </c>
      <c r="D902" s="74"/>
      <c r="E902" s="14"/>
      <c r="F902" s="14"/>
      <c r="G902" s="14"/>
      <c r="H902" s="14"/>
      <c r="Z902" s="2" t="str">
        <f>IF($B902&lt;&gt;"",INDEX(Config!$B$13:$AZ$76,MATCH($B902,Config!$B$13:$B$76,0),26),"")</f>
        <v/>
      </c>
      <c r="BA902" s="2" t="str">
        <f t="shared" si="30"/>
        <v/>
      </c>
    </row>
    <row r="903" spans="1:53" x14ac:dyDescent="0.15">
      <c r="A903" s="26" t="str">
        <f t="shared" si="29"/>
        <v/>
      </c>
      <c r="B903" s="14"/>
      <c r="C903" s="28" t="str">
        <f>IF(TRIM($B903)&lt;&gt;"",INDEX(Config!$B$13:$L$76,MATCH($B903,Config!$B$13:$B$76,0),2),"")</f>
        <v/>
      </c>
      <c r="D903" s="74"/>
      <c r="E903" s="14"/>
      <c r="F903" s="14"/>
      <c r="G903" s="14"/>
      <c r="H903" s="14"/>
      <c r="Z903" s="2" t="str">
        <f>IF($B903&lt;&gt;"",INDEX(Config!$B$13:$AZ$76,MATCH($B903,Config!$B$13:$B$76,0),26),"")</f>
        <v/>
      </c>
      <c r="BA903" s="2" t="str">
        <f t="shared" si="30"/>
        <v/>
      </c>
    </row>
    <row r="904" spans="1:53" x14ac:dyDescent="0.15">
      <c r="A904" s="26" t="str">
        <f t="shared" ref="A904:A909" si="31">IF(B904&lt;&gt;"","#"&amp;ROW()-1,"")</f>
        <v/>
      </c>
      <c r="B904" s="14"/>
      <c r="C904" s="28" t="str">
        <f>IF(TRIM($B904)&lt;&gt;"",INDEX(Config!$B$13:$L$76,MATCH($B904,Config!$B$13:$B$76,0),2),"")</f>
        <v/>
      </c>
      <c r="D904" s="74"/>
      <c r="E904" s="14"/>
      <c r="F904" s="14"/>
      <c r="G904" s="14"/>
      <c r="H904" s="14"/>
      <c r="Z904" s="2" t="str">
        <f>IF($B904&lt;&gt;"",INDEX(Config!$B$13:$AZ$76,MATCH($B904,Config!$B$13:$B$76,0),26),"")</f>
        <v/>
      </c>
      <c r="BA904" s="2" t="str">
        <f t="shared" ref="BA904:BA909" si="32">IF($B904&lt;&gt;"",ROW()-1,"")</f>
        <v/>
      </c>
    </row>
    <row r="905" spans="1:53" x14ac:dyDescent="0.15">
      <c r="A905" s="26" t="str">
        <f t="shared" si="31"/>
        <v/>
      </c>
      <c r="B905" s="14"/>
      <c r="C905" s="28" t="str">
        <f>IF(TRIM($B905)&lt;&gt;"",INDEX(Config!$B$13:$L$76,MATCH($B905,Config!$B$13:$B$76,0),2),"")</f>
        <v/>
      </c>
      <c r="D905" s="74"/>
      <c r="E905" s="14"/>
      <c r="F905" s="14"/>
      <c r="G905" s="14"/>
      <c r="H905" s="14"/>
      <c r="Z905" s="2" t="str">
        <f>IF($B905&lt;&gt;"",INDEX(Config!$B$13:$AZ$76,MATCH($B905,Config!$B$13:$B$76,0),26),"")</f>
        <v/>
      </c>
      <c r="BA905" s="2" t="str">
        <f t="shared" si="32"/>
        <v/>
      </c>
    </row>
    <row r="906" spans="1:53" x14ac:dyDescent="0.15">
      <c r="A906" s="26" t="str">
        <f t="shared" si="31"/>
        <v/>
      </c>
      <c r="B906" s="14"/>
      <c r="C906" s="28" t="str">
        <f>IF(TRIM($B906)&lt;&gt;"",INDEX(Config!$B$13:$L$76,MATCH($B906,Config!$B$13:$B$76,0),2),"")</f>
        <v/>
      </c>
      <c r="D906" s="74"/>
      <c r="E906" s="14"/>
      <c r="F906" s="14"/>
      <c r="G906" s="14"/>
      <c r="H906" s="14"/>
      <c r="Z906" s="2" t="str">
        <f>IF($B906&lt;&gt;"",INDEX(Config!$B$13:$AZ$76,MATCH($B906,Config!$B$13:$B$76,0),26),"")</f>
        <v/>
      </c>
      <c r="BA906" s="2" t="str">
        <f t="shared" si="32"/>
        <v/>
      </c>
    </row>
    <row r="907" spans="1:53" x14ac:dyDescent="0.15">
      <c r="A907" s="26" t="str">
        <f t="shared" si="31"/>
        <v/>
      </c>
      <c r="B907" s="14"/>
      <c r="C907" s="28" t="str">
        <f>IF(TRIM($B907)&lt;&gt;"",INDEX(Config!$B$13:$L$76,MATCH($B907,Config!$B$13:$B$76,0),2),"")</f>
        <v/>
      </c>
      <c r="D907" s="74"/>
      <c r="E907" s="14"/>
      <c r="F907" s="14"/>
      <c r="G907" s="14"/>
      <c r="H907" s="14"/>
      <c r="Z907" s="2" t="str">
        <f>IF($B907&lt;&gt;"",INDEX(Config!$B$13:$AZ$76,MATCH($B907,Config!$B$13:$B$76,0),26),"")</f>
        <v/>
      </c>
      <c r="BA907" s="2" t="str">
        <f t="shared" si="32"/>
        <v/>
      </c>
    </row>
    <row r="908" spans="1:53" x14ac:dyDescent="0.15">
      <c r="A908" s="26" t="str">
        <f t="shared" si="31"/>
        <v/>
      </c>
      <c r="B908" s="14"/>
      <c r="C908" s="28" t="str">
        <f>IF(TRIM($B908)&lt;&gt;"",INDEX(Config!$B$13:$L$76,MATCH($B908,Config!$B$13:$B$76,0),2),"")</f>
        <v/>
      </c>
      <c r="D908" s="74"/>
      <c r="E908" s="14"/>
      <c r="F908" s="14"/>
      <c r="G908" s="14"/>
      <c r="H908" s="14"/>
      <c r="Z908" s="2" t="str">
        <f>IF($B908&lt;&gt;"",INDEX(Config!$B$13:$AZ$76,MATCH($B908,Config!$B$13:$B$76,0),26),"")</f>
        <v/>
      </c>
      <c r="BA908" s="2" t="str">
        <f t="shared" si="32"/>
        <v/>
      </c>
    </row>
    <row r="909" spans="1:53" x14ac:dyDescent="0.15">
      <c r="A909" s="26" t="str">
        <f t="shared" si="31"/>
        <v/>
      </c>
      <c r="B909" s="14"/>
      <c r="C909" s="28" t="str">
        <f>IF(TRIM($B909)&lt;&gt;"",INDEX(Config!$B$13:$L$76,MATCH($B909,Config!$B$13:$B$76,0),2),"")</f>
        <v/>
      </c>
      <c r="D909" s="74"/>
      <c r="E909" s="14"/>
      <c r="F909" s="14"/>
      <c r="G909" s="14"/>
      <c r="H909" s="14"/>
      <c r="Z909" s="2" t="str">
        <f>IF($B909&lt;&gt;"",INDEX(Config!$B$13:$AZ$76,MATCH($B909,Config!$B$13:$B$76,0),26),"")</f>
        <v/>
      </c>
      <c r="BA909" s="2" t="str">
        <f t="shared" si="32"/>
        <v/>
      </c>
    </row>
  </sheetData>
  <mergeCells count="4">
    <mergeCell ref="I4:I5"/>
    <mergeCell ref="J4:J5"/>
    <mergeCell ref="I8:I9"/>
    <mergeCell ref="J8:J9"/>
  </mergeCells>
  <conditionalFormatting sqref="A2:C2 E2:H2 A5:C5 E5:H5 A3:H3 A6:H6 A27:C32 F27:H32 A31:H909 A8:H28">
    <cfRule type="expression" dxfId="2557" priority="2539">
      <formula>$B2&lt;&gt;""</formula>
    </cfRule>
  </conditionalFormatting>
  <conditionalFormatting sqref="D2:D3 D6 D31:D9001 D8:D28">
    <cfRule type="expression" dxfId="2556" priority="2538">
      <formula>OR($Z2=1,$Z2=12,$Z2=123)</formula>
    </cfRule>
  </conditionalFormatting>
  <conditionalFormatting sqref="E2:E3 E5:E6 E8:E28 E31:E9001">
    <cfRule type="expression" dxfId="2555" priority="2537">
      <formula>OR($Z2=2,$Z2=12,$Z2=123)</formula>
    </cfRule>
  </conditionalFormatting>
  <conditionalFormatting sqref="A24:H24">
    <cfRule type="expression" dxfId="2554" priority="2536">
      <formula>$B24&lt;&gt;""</formula>
    </cfRule>
  </conditionalFormatting>
  <conditionalFormatting sqref="D24">
    <cfRule type="expression" dxfId="2553" priority="2535">
      <formula>OR($Z24=1,$Z24=12,$Z24=123)</formula>
    </cfRule>
  </conditionalFormatting>
  <conditionalFormatting sqref="E24">
    <cfRule type="expression" dxfId="2552" priority="2534">
      <formula>OR($Z24=2,$Z24=12,$Z24=123)</formula>
    </cfRule>
  </conditionalFormatting>
  <conditionalFormatting sqref="D25:E25">
    <cfRule type="expression" dxfId="2551" priority="2533">
      <formula>$B25&lt;&gt;""</formula>
    </cfRule>
  </conditionalFormatting>
  <conditionalFormatting sqref="D25">
    <cfRule type="expression" dxfId="2550" priority="2532">
      <formula>OR($Z25=1,$Z25=12,$Z25=123)</formula>
    </cfRule>
  </conditionalFormatting>
  <conditionalFormatting sqref="E25">
    <cfRule type="expression" dxfId="2549" priority="2531">
      <formula>OR($Z25=2,$Z25=12,$Z25=123)</formula>
    </cfRule>
  </conditionalFormatting>
  <conditionalFormatting sqref="D28:E28">
    <cfRule type="expression" dxfId="2548" priority="2530">
      <formula>$B28&lt;&gt;""</formula>
    </cfRule>
  </conditionalFormatting>
  <conditionalFormatting sqref="D28">
    <cfRule type="expression" dxfId="2547" priority="2529">
      <formula>OR($Z28=1,$Z28=12,$Z28=123)</formula>
    </cfRule>
  </conditionalFormatting>
  <conditionalFormatting sqref="E28">
    <cfRule type="expression" dxfId="2546" priority="2528">
      <formula>OR($Z28=2,$Z28=12,$Z28=123)</formula>
    </cfRule>
  </conditionalFormatting>
  <conditionalFormatting sqref="A44:H44">
    <cfRule type="expression" dxfId="2545" priority="2527">
      <formula>$B44&lt;&gt;""</formula>
    </cfRule>
  </conditionalFormatting>
  <conditionalFormatting sqref="D44">
    <cfRule type="expression" dxfId="2544" priority="2526">
      <formula>OR($Z44=1,$Z44=12,$Z44=123)</formula>
    </cfRule>
  </conditionalFormatting>
  <conditionalFormatting sqref="E44">
    <cfRule type="expression" dxfId="2543" priority="2525">
      <formula>OR($Z44=2,$Z44=12,$Z44=123)</formula>
    </cfRule>
  </conditionalFormatting>
  <conditionalFormatting sqref="D5">
    <cfRule type="expression" dxfId="2542" priority="2524">
      <formula>$B5&lt;&gt;""</formula>
    </cfRule>
  </conditionalFormatting>
  <conditionalFormatting sqref="D5">
    <cfRule type="expression" dxfId="2541" priority="2523">
      <formula>OR($Z5=1,$Z5=12,$Z5=123)</formula>
    </cfRule>
  </conditionalFormatting>
  <conditionalFormatting sqref="D2">
    <cfRule type="expression" dxfId="2540" priority="2522">
      <formula>$B2&lt;&gt;""</formula>
    </cfRule>
  </conditionalFormatting>
  <conditionalFormatting sqref="D26:E26">
    <cfRule type="expression" dxfId="2539" priority="2521">
      <formula>$B26&lt;&gt;""</formula>
    </cfRule>
  </conditionalFormatting>
  <conditionalFormatting sqref="D26">
    <cfRule type="expression" dxfId="2538" priority="2520">
      <formula>OR($Z26=1,$Z26=12,$Z26=123)</formula>
    </cfRule>
  </conditionalFormatting>
  <conditionalFormatting sqref="E26">
    <cfRule type="expression" dxfId="2537" priority="2519">
      <formula>OR($Z26=2,$Z26=12,$Z26=123)</formula>
    </cfRule>
  </conditionalFormatting>
  <conditionalFormatting sqref="D27:E27">
    <cfRule type="expression" dxfId="2536" priority="2518">
      <formula>$B27&lt;&gt;""</formula>
    </cfRule>
  </conditionalFormatting>
  <conditionalFormatting sqref="D27">
    <cfRule type="expression" dxfId="2535" priority="2517">
      <formula>OR($Z27=1,$Z27=12,$Z27=123)</formula>
    </cfRule>
  </conditionalFormatting>
  <conditionalFormatting sqref="E27">
    <cfRule type="expression" dxfId="2534" priority="2516">
      <formula>OR($Z27=2,$Z27=12,$Z27=123)</formula>
    </cfRule>
  </conditionalFormatting>
  <conditionalFormatting sqref="E29">
    <cfRule type="expression" dxfId="2533" priority="2515">
      <formula>$B29&lt;&gt;""</formula>
    </cfRule>
  </conditionalFormatting>
  <conditionalFormatting sqref="E29">
    <cfRule type="expression" dxfId="2532" priority="2514">
      <formula>OR($Z29=2,$Z29=12,$Z29=123)</formula>
    </cfRule>
  </conditionalFormatting>
  <conditionalFormatting sqref="D30:E30">
    <cfRule type="expression" dxfId="2531" priority="2513">
      <formula>$B30&lt;&gt;""</formula>
    </cfRule>
  </conditionalFormatting>
  <conditionalFormatting sqref="D30">
    <cfRule type="expression" dxfId="2530" priority="2512">
      <formula>OR($Z30=1,$Z30=12,$Z30=123)</formula>
    </cfRule>
  </conditionalFormatting>
  <conditionalFormatting sqref="E30">
    <cfRule type="expression" dxfId="2529" priority="2511">
      <formula>OR($Z30=2,$Z30=12,$Z30=123)</formula>
    </cfRule>
  </conditionalFormatting>
  <conditionalFormatting sqref="D32:E32">
    <cfRule type="expression" dxfId="2528" priority="2510">
      <formula>$B32&lt;&gt;""</formula>
    </cfRule>
  </conditionalFormatting>
  <conditionalFormatting sqref="D32">
    <cfRule type="expression" dxfId="2527" priority="2509">
      <formula>OR($Z32=1,$Z32=12,$Z32=123)</formula>
    </cfRule>
  </conditionalFormatting>
  <conditionalFormatting sqref="E32">
    <cfRule type="expression" dxfId="2526" priority="2508">
      <formula>OR($Z32=2,$Z32=12,$Z32=123)</formula>
    </cfRule>
  </conditionalFormatting>
  <conditionalFormatting sqref="D33:E33">
    <cfRule type="expression" dxfId="2525" priority="2507">
      <formula>$B33&lt;&gt;""</formula>
    </cfRule>
  </conditionalFormatting>
  <conditionalFormatting sqref="D33">
    <cfRule type="expression" dxfId="2524" priority="2506">
      <formula>OR($Z33=1,$Z33=12,$Z33=123)</formula>
    </cfRule>
  </conditionalFormatting>
  <conditionalFormatting sqref="E33">
    <cfRule type="expression" dxfId="2523" priority="2505">
      <formula>OR($Z33=2,$Z33=12,$Z33=123)</formula>
    </cfRule>
  </conditionalFormatting>
  <conditionalFormatting sqref="D35:E35">
    <cfRule type="expression" dxfId="2522" priority="2504">
      <formula>$B35&lt;&gt;""</formula>
    </cfRule>
  </conditionalFormatting>
  <conditionalFormatting sqref="D35">
    <cfRule type="expression" dxfId="2521" priority="2503">
      <formula>OR($Z35=1,$Z35=12,$Z35=123)</formula>
    </cfRule>
  </conditionalFormatting>
  <conditionalFormatting sqref="E35">
    <cfRule type="expression" dxfId="2520" priority="2502">
      <formula>OR($Z35=2,$Z35=12,$Z35=123)</formula>
    </cfRule>
  </conditionalFormatting>
  <conditionalFormatting sqref="D36:E36">
    <cfRule type="expression" dxfId="2519" priority="2501">
      <formula>$B36&lt;&gt;""</formula>
    </cfRule>
  </conditionalFormatting>
  <conditionalFormatting sqref="D36">
    <cfRule type="expression" dxfId="2518" priority="2500">
      <formula>OR($Z36=1,$Z36=12,$Z36=123)</formula>
    </cfRule>
  </conditionalFormatting>
  <conditionalFormatting sqref="E36">
    <cfRule type="expression" dxfId="2517" priority="2499">
      <formula>OR($Z36=2,$Z36=12,$Z36=123)</formula>
    </cfRule>
  </conditionalFormatting>
  <conditionalFormatting sqref="D37:E37">
    <cfRule type="expression" dxfId="2516" priority="2498">
      <formula>$B37&lt;&gt;""</formula>
    </cfRule>
  </conditionalFormatting>
  <conditionalFormatting sqref="D37">
    <cfRule type="expression" dxfId="2515" priority="2497">
      <formula>OR($Z37=1,$Z37=12,$Z37=123)</formula>
    </cfRule>
  </conditionalFormatting>
  <conditionalFormatting sqref="E37">
    <cfRule type="expression" dxfId="2514" priority="2496">
      <formula>OR($Z37=2,$Z37=12,$Z37=123)</formula>
    </cfRule>
  </conditionalFormatting>
  <conditionalFormatting sqref="D39:E39">
    <cfRule type="expression" dxfId="2513" priority="2495">
      <formula>$B39&lt;&gt;""</formula>
    </cfRule>
  </conditionalFormatting>
  <conditionalFormatting sqref="D39">
    <cfRule type="expression" dxfId="2512" priority="2494">
      <formula>OR($Z39=1,$Z39=12,$Z39=123)</formula>
    </cfRule>
  </conditionalFormatting>
  <conditionalFormatting sqref="E39">
    <cfRule type="expression" dxfId="2511" priority="2493">
      <formula>OR($Z39=2,$Z39=12,$Z39=123)</formula>
    </cfRule>
  </conditionalFormatting>
  <conditionalFormatting sqref="D40:E40">
    <cfRule type="expression" dxfId="2510" priority="2492">
      <formula>$B40&lt;&gt;""</formula>
    </cfRule>
  </conditionalFormatting>
  <conditionalFormatting sqref="D40">
    <cfRule type="expression" dxfId="2509" priority="2491">
      <formula>OR($Z40=1,$Z40=12,$Z40=123)</formula>
    </cfRule>
  </conditionalFormatting>
  <conditionalFormatting sqref="E40">
    <cfRule type="expression" dxfId="2508" priority="2490">
      <formula>OR($Z40=2,$Z40=12,$Z40=123)</formula>
    </cfRule>
  </conditionalFormatting>
  <conditionalFormatting sqref="D42:E42">
    <cfRule type="expression" dxfId="2507" priority="2489">
      <formula>$B42&lt;&gt;""</formula>
    </cfRule>
  </conditionalFormatting>
  <conditionalFormatting sqref="D42">
    <cfRule type="expression" dxfId="2506" priority="2488">
      <formula>OR($Z42=1,$Z42=12,$Z42=123)</formula>
    </cfRule>
  </conditionalFormatting>
  <conditionalFormatting sqref="E42">
    <cfRule type="expression" dxfId="2505" priority="2487">
      <formula>OR($Z42=2,$Z42=12,$Z42=123)</formula>
    </cfRule>
  </conditionalFormatting>
  <conditionalFormatting sqref="D29">
    <cfRule type="expression" dxfId="2504" priority="2486">
      <formula>$B29&lt;&gt;""</formula>
    </cfRule>
  </conditionalFormatting>
  <conditionalFormatting sqref="D29">
    <cfRule type="expression" dxfId="2503" priority="2485">
      <formula>OR($Z29=1,$Z29=12,$Z29=123)</formula>
    </cfRule>
  </conditionalFormatting>
  <conditionalFormatting sqref="A25:H25">
    <cfRule type="expression" dxfId="2502" priority="2484">
      <formula>$B25&lt;&gt;""</formula>
    </cfRule>
  </conditionalFormatting>
  <conditionalFormatting sqref="D25">
    <cfRule type="expression" dxfId="2501" priority="2483">
      <formula>OR($Z25=1,$Z25=12,$Z25=123)</formula>
    </cfRule>
  </conditionalFormatting>
  <conditionalFormatting sqref="E25">
    <cfRule type="expression" dxfId="2500" priority="2482">
      <formula>OR($Z25=2,$Z25=12,$Z25=123)</formula>
    </cfRule>
  </conditionalFormatting>
  <conditionalFormatting sqref="D26:E26">
    <cfRule type="expression" dxfId="2499" priority="2481">
      <formula>$B26&lt;&gt;""</formula>
    </cfRule>
  </conditionalFormatting>
  <conditionalFormatting sqref="D26">
    <cfRule type="expression" dxfId="2498" priority="2480">
      <formula>OR($Z26=1,$Z26=12,$Z26=123)</formula>
    </cfRule>
  </conditionalFormatting>
  <conditionalFormatting sqref="E26">
    <cfRule type="expression" dxfId="2497" priority="2479">
      <formula>OR($Z26=2,$Z26=12,$Z26=123)</formula>
    </cfRule>
  </conditionalFormatting>
  <conditionalFormatting sqref="D29:E29">
    <cfRule type="expression" dxfId="2496" priority="2478">
      <formula>$B29&lt;&gt;""</formula>
    </cfRule>
  </conditionalFormatting>
  <conditionalFormatting sqref="D29">
    <cfRule type="expression" dxfId="2495" priority="2477">
      <formula>OR($Z29=1,$Z29=12,$Z29=123)</formula>
    </cfRule>
  </conditionalFormatting>
  <conditionalFormatting sqref="E29">
    <cfRule type="expression" dxfId="2494" priority="2476">
      <formula>OR($Z29=2,$Z29=12,$Z29=123)</formula>
    </cfRule>
  </conditionalFormatting>
  <conditionalFormatting sqref="D27:E27">
    <cfRule type="expression" dxfId="2493" priority="2475">
      <formula>$B27&lt;&gt;""</formula>
    </cfRule>
  </conditionalFormatting>
  <conditionalFormatting sqref="D27">
    <cfRule type="expression" dxfId="2492" priority="2474">
      <formula>OR($Z27=1,$Z27=12,$Z27=123)</formula>
    </cfRule>
  </conditionalFormatting>
  <conditionalFormatting sqref="E27">
    <cfRule type="expression" dxfId="2491" priority="2473">
      <formula>OR($Z27=2,$Z27=12,$Z27=123)</formula>
    </cfRule>
  </conditionalFormatting>
  <conditionalFormatting sqref="D28:E28">
    <cfRule type="expression" dxfId="2490" priority="2472">
      <formula>$B28&lt;&gt;""</formula>
    </cfRule>
  </conditionalFormatting>
  <conditionalFormatting sqref="D28">
    <cfRule type="expression" dxfId="2489" priority="2471">
      <formula>OR($Z28=1,$Z28=12,$Z28=123)</formula>
    </cfRule>
  </conditionalFormatting>
  <conditionalFormatting sqref="E28">
    <cfRule type="expression" dxfId="2488" priority="2470">
      <formula>OR($Z28=2,$Z28=12,$Z28=123)</formula>
    </cfRule>
  </conditionalFormatting>
  <conditionalFormatting sqref="E30">
    <cfRule type="expression" dxfId="2487" priority="2469">
      <formula>$B30&lt;&gt;""</formula>
    </cfRule>
  </conditionalFormatting>
  <conditionalFormatting sqref="E30">
    <cfRule type="expression" dxfId="2486" priority="2468">
      <formula>OR($Z30=2,$Z30=12,$Z30=123)</formula>
    </cfRule>
  </conditionalFormatting>
  <conditionalFormatting sqref="D31:E31">
    <cfRule type="expression" dxfId="2485" priority="2467">
      <formula>$B31&lt;&gt;""</formula>
    </cfRule>
  </conditionalFormatting>
  <conditionalFormatting sqref="D31">
    <cfRule type="expression" dxfId="2484" priority="2466">
      <formula>OR($Z31=1,$Z31=12,$Z31=123)</formula>
    </cfRule>
  </conditionalFormatting>
  <conditionalFormatting sqref="E31">
    <cfRule type="expression" dxfId="2483" priority="2465">
      <formula>OR($Z31=2,$Z31=12,$Z31=123)</formula>
    </cfRule>
  </conditionalFormatting>
  <conditionalFormatting sqref="D30">
    <cfRule type="expression" dxfId="2482" priority="2464">
      <formula>$B30&lt;&gt;""</formula>
    </cfRule>
  </conditionalFormatting>
  <conditionalFormatting sqref="D30">
    <cfRule type="expression" dxfId="2481" priority="2463">
      <formula>OR($Z30=1,$Z30=12,$Z30=123)</formula>
    </cfRule>
  </conditionalFormatting>
  <conditionalFormatting sqref="A7:H7">
    <cfRule type="expression" dxfId="2480" priority="2462">
      <formula>$B7&lt;&gt;""</formula>
    </cfRule>
  </conditionalFormatting>
  <conditionalFormatting sqref="D7">
    <cfRule type="expression" dxfId="2479" priority="2461">
      <formula>OR($Z7=1,$Z7=12,$Z7=123)</formula>
    </cfRule>
  </conditionalFormatting>
  <conditionalFormatting sqref="E7">
    <cfRule type="expression" dxfId="2478" priority="2460">
      <formula>OR($Z7=2,$Z7=12,$Z7=123)</formula>
    </cfRule>
  </conditionalFormatting>
  <conditionalFormatting sqref="A4:H4">
    <cfRule type="expression" dxfId="2477" priority="2459">
      <formula>$B4&lt;&gt;""</formula>
    </cfRule>
  </conditionalFormatting>
  <conditionalFormatting sqref="D4">
    <cfRule type="expression" dxfId="2476" priority="2458">
      <formula>OR($Z4=1,$Z4=12,$Z4=123)</formula>
    </cfRule>
  </conditionalFormatting>
  <conditionalFormatting sqref="E4">
    <cfRule type="expression" dxfId="2475" priority="2457">
      <formula>OR($Z4=2,$Z4=12,$Z4=123)</formula>
    </cfRule>
  </conditionalFormatting>
  <conditionalFormatting sqref="A25:H25">
    <cfRule type="expression" dxfId="2474" priority="2456">
      <formula>$B25&lt;&gt;""</formula>
    </cfRule>
  </conditionalFormatting>
  <conditionalFormatting sqref="D25">
    <cfRule type="expression" dxfId="2473" priority="2455">
      <formula>OR($Z25=1,$Z25=12,$Z25=123)</formula>
    </cfRule>
  </conditionalFormatting>
  <conditionalFormatting sqref="E25">
    <cfRule type="expression" dxfId="2472" priority="2454">
      <formula>OR($Z25=2,$Z25=12,$Z25=123)</formula>
    </cfRule>
  </conditionalFormatting>
  <conditionalFormatting sqref="D26:E26">
    <cfRule type="expression" dxfId="2471" priority="2453">
      <formula>$B26&lt;&gt;""</formula>
    </cfRule>
  </conditionalFormatting>
  <conditionalFormatting sqref="D26">
    <cfRule type="expression" dxfId="2470" priority="2452">
      <formula>OR($Z26=1,$Z26=12,$Z26=123)</formula>
    </cfRule>
  </conditionalFormatting>
  <conditionalFormatting sqref="E26">
    <cfRule type="expression" dxfId="2469" priority="2451">
      <formula>OR($Z26=2,$Z26=12,$Z26=123)</formula>
    </cfRule>
  </conditionalFormatting>
  <conditionalFormatting sqref="D29:E29">
    <cfRule type="expression" dxfId="2468" priority="2450">
      <formula>$B29&lt;&gt;""</formula>
    </cfRule>
  </conditionalFormatting>
  <conditionalFormatting sqref="D29">
    <cfRule type="expression" dxfId="2467" priority="2449">
      <formula>OR($Z29=1,$Z29=12,$Z29=123)</formula>
    </cfRule>
  </conditionalFormatting>
  <conditionalFormatting sqref="E29">
    <cfRule type="expression" dxfId="2466" priority="2448">
      <formula>OR($Z29=2,$Z29=12,$Z29=123)</formula>
    </cfRule>
  </conditionalFormatting>
  <conditionalFormatting sqref="D27:E27">
    <cfRule type="expression" dxfId="2465" priority="2447">
      <formula>$B27&lt;&gt;""</formula>
    </cfRule>
  </conditionalFormatting>
  <conditionalFormatting sqref="D27">
    <cfRule type="expression" dxfId="2464" priority="2446">
      <formula>OR($Z27=1,$Z27=12,$Z27=123)</formula>
    </cfRule>
  </conditionalFormatting>
  <conditionalFormatting sqref="E27">
    <cfRule type="expression" dxfId="2463" priority="2445">
      <formula>OR($Z27=2,$Z27=12,$Z27=123)</formula>
    </cfRule>
  </conditionalFormatting>
  <conditionalFormatting sqref="D28:E28">
    <cfRule type="expression" dxfId="2462" priority="2444">
      <formula>$B28&lt;&gt;""</formula>
    </cfRule>
  </conditionalFormatting>
  <conditionalFormatting sqref="D28">
    <cfRule type="expression" dxfId="2461" priority="2443">
      <formula>OR($Z28=1,$Z28=12,$Z28=123)</formula>
    </cfRule>
  </conditionalFormatting>
  <conditionalFormatting sqref="E28">
    <cfRule type="expression" dxfId="2460" priority="2442">
      <formula>OR($Z28=2,$Z28=12,$Z28=123)</formula>
    </cfRule>
  </conditionalFormatting>
  <conditionalFormatting sqref="E30">
    <cfRule type="expression" dxfId="2459" priority="2441">
      <formula>$B30&lt;&gt;""</formula>
    </cfRule>
  </conditionalFormatting>
  <conditionalFormatting sqref="E30">
    <cfRule type="expression" dxfId="2458" priority="2440">
      <formula>OR($Z30=2,$Z30=12,$Z30=123)</formula>
    </cfRule>
  </conditionalFormatting>
  <conditionalFormatting sqref="D31:E31">
    <cfRule type="expression" dxfId="2457" priority="2439">
      <formula>$B31&lt;&gt;""</formula>
    </cfRule>
  </conditionalFormatting>
  <conditionalFormatting sqref="D31">
    <cfRule type="expression" dxfId="2456" priority="2438">
      <formula>OR($Z31=1,$Z31=12,$Z31=123)</formula>
    </cfRule>
  </conditionalFormatting>
  <conditionalFormatting sqref="E31">
    <cfRule type="expression" dxfId="2455" priority="2437">
      <formula>OR($Z31=2,$Z31=12,$Z31=123)</formula>
    </cfRule>
  </conditionalFormatting>
  <conditionalFormatting sqref="D33:E33">
    <cfRule type="expression" dxfId="2454" priority="2436">
      <formula>$B33&lt;&gt;""</formula>
    </cfRule>
  </conditionalFormatting>
  <conditionalFormatting sqref="D33">
    <cfRule type="expression" dxfId="2453" priority="2435">
      <formula>OR($Z33=1,$Z33=12,$Z33=123)</formula>
    </cfRule>
  </conditionalFormatting>
  <conditionalFormatting sqref="E33">
    <cfRule type="expression" dxfId="2452" priority="2434">
      <formula>OR($Z33=2,$Z33=12,$Z33=123)</formula>
    </cfRule>
  </conditionalFormatting>
  <conditionalFormatting sqref="D34:E34">
    <cfRule type="expression" dxfId="2451" priority="2433">
      <formula>$B34&lt;&gt;""</formula>
    </cfRule>
  </conditionalFormatting>
  <conditionalFormatting sqref="D34">
    <cfRule type="expression" dxfId="2450" priority="2432">
      <formula>OR($Z34=1,$Z34=12,$Z34=123)</formula>
    </cfRule>
  </conditionalFormatting>
  <conditionalFormatting sqref="E34">
    <cfRule type="expression" dxfId="2449" priority="2431">
      <formula>OR($Z34=2,$Z34=12,$Z34=123)</formula>
    </cfRule>
  </conditionalFormatting>
  <conditionalFormatting sqref="D36:E36">
    <cfRule type="expression" dxfId="2448" priority="2430">
      <formula>$B36&lt;&gt;""</formula>
    </cfRule>
  </conditionalFormatting>
  <conditionalFormatting sqref="D36">
    <cfRule type="expression" dxfId="2447" priority="2429">
      <formula>OR($Z36=1,$Z36=12,$Z36=123)</formula>
    </cfRule>
  </conditionalFormatting>
  <conditionalFormatting sqref="E36">
    <cfRule type="expression" dxfId="2446" priority="2428">
      <formula>OR($Z36=2,$Z36=12,$Z36=123)</formula>
    </cfRule>
  </conditionalFormatting>
  <conditionalFormatting sqref="D37:E37">
    <cfRule type="expression" dxfId="2445" priority="2427">
      <formula>$B37&lt;&gt;""</formula>
    </cfRule>
  </conditionalFormatting>
  <conditionalFormatting sqref="D37">
    <cfRule type="expression" dxfId="2444" priority="2426">
      <formula>OR($Z37=1,$Z37=12,$Z37=123)</formula>
    </cfRule>
  </conditionalFormatting>
  <conditionalFormatting sqref="E37">
    <cfRule type="expression" dxfId="2443" priority="2425">
      <formula>OR($Z37=2,$Z37=12,$Z37=123)</formula>
    </cfRule>
  </conditionalFormatting>
  <conditionalFormatting sqref="D38:E38">
    <cfRule type="expression" dxfId="2442" priority="2424">
      <formula>$B38&lt;&gt;""</formula>
    </cfRule>
  </conditionalFormatting>
  <conditionalFormatting sqref="D38">
    <cfRule type="expression" dxfId="2441" priority="2423">
      <formula>OR($Z38=1,$Z38=12,$Z38=123)</formula>
    </cfRule>
  </conditionalFormatting>
  <conditionalFormatting sqref="E38">
    <cfRule type="expression" dxfId="2440" priority="2422">
      <formula>OR($Z38=2,$Z38=12,$Z38=123)</formula>
    </cfRule>
  </conditionalFormatting>
  <conditionalFormatting sqref="D40:E40">
    <cfRule type="expression" dxfId="2439" priority="2421">
      <formula>$B40&lt;&gt;""</formula>
    </cfRule>
  </conditionalFormatting>
  <conditionalFormatting sqref="D40">
    <cfRule type="expression" dxfId="2438" priority="2420">
      <formula>OR($Z40=1,$Z40=12,$Z40=123)</formula>
    </cfRule>
  </conditionalFormatting>
  <conditionalFormatting sqref="E40">
    <cfRule type="expression" dxfId="2437" priority="2419">
      <formula>OR($Z40=2,$Z40=12,$Z40=123)</formula>
    </cfRule>
  </conditionalFormatting>
  <conditionalFormatting sqref="D41:E41">
    <cfRule type="expression" dxfId="2436" priority="2418">
      <formula>$B41&lt;&gt;""</formula>
    </cfRule>
  </conditionalFormatting>
  <conditionalFormatting sqref="D41">
    <cfRule type="expression" dxfId="2435" priority="2417">
      <formula>OR($Z41=1,$Z41=12,$Z41=123)</formula>
    </cfRule>
  </conditionalFormatting>
  <conditionalFormatting sqref="E41">
    <cfRule type="expression" dxfId="2434" priority="2416">
      <formula>OR($Z41=2,$Z41=12,$Z41=123)</formula>
    </cfRule>
  </conditionalFormatting>
  <conditionalFormatting sqref="D30">
    <cfRule type="expression" dxfId="2433" priority="2415">
      <formula>$B30&lt;&gt;""</formula>
    </cfRule>
  </conditionalFormatting>
  <conditionalFormatting sqref="D30">
    <cfRule type="expression" dxfId="2432" priority="2414">
      <formula>OR($Z30=1,$Z30=12,$Z30=123)</formula>
    </cfRule>
  </conditionalFormatting>
  <conditionalFormatting sqref="A26:H26">
    <cfRule type="expression" dxfId="2431" priority="2413">
      <formula>$B26&lt;&gt;""</formula>
    </cfRule>
  </conditionalFormatting>
  <conditionalFormatting sqref="D26">
    <cfRule type="expression" dxfId="2430" priority="2412">
      <formula>OR($Z26=1,$Z26=12,$Z26=123)</formula>
    </cfRule>
  </conditionalFormatting>
  <conditionalFormatting sqref="E26">
    <cfRule type="expression" dxfId="2429" priority="2411">
      <formula>OR($Z26=2,$Z26=12,$Z26=123)</formula>
    </cfRule>
  </conditionalFormatting>
  <conditionalFormatting sqref="D27:E27">
    <cfRule type="expression" dxfId="2428" priority="2410">
      <formula>$B27&lt;&gt;""</formula>
    </cfRule>
  </conditionalFormatting>
  <conditionalFormatting sqref="D27">
    <cfRule type="expression" dxfId="2427" priority="2409">
      <formula>OR($Z27=1,$Z27=12,$Z27=123)</formula>
    </cfRule>
  </conditionalFormatting>
  <conditionalFormatting sqref="E27">
    <cfRule type="expression" dxfId="2426" priority="2408">
      <formula>OR($Z27=2,$Z27=12,$Z27=123)</formula>
    </cfRule>
  </conditionalFormatting>
  <conditionalFormatting sqref="D30:E30">
    <cfRule type="expression" dxfId="2425" priority="2407">
      <formula>$B30&lt;&gt;""</formula>
    </cfRule>
  </conditionalFormatting>
  <conditionalFormatting sqref="D30">
    <cfRule type="expression" dxfId="2424" priority="2406">
      <formula>OR($Z30=1,$Z30=12,$Z30=123)</formula>
    </cfRule>
  </conditionalFormatting>
  <conditionalFormatting sqref="E30">
    <cfRule type="expression" dxfId="2423" priority="2405">
      <formula>OR($Z30=2,$Z30=12,$Z30=123)</formula>
    </cfRule>
  </conditionalFormatting>
  <conditionalFormatting sqref="D28:E28">
    <cfRule type="expression" dxfId="2422" priority="2404">
      <formula>$B28&lt;&gt;""</formula>
    </cfRule>
  </conditionalFormatting>
  <conditionalFormatting sqref="D28">
    <cfRule type="expression" dxfId="2421" priority="2403">
      <formula>OR($Z28=1,$Z28=12,$Z28=123)</formula>
    </cfRule>
  </conditionalFormatting>
  <conditionalFormatting sqref="E28">
    <cfRule type="expression" dxfId="2420" priority="2402">
      <formula>OR($Z28=2,$Z28=12,$Z28=123)</formula>
    </cfRule>
  </conditionalFormatting>
  <conditionalFormatting sqref="D29:E29">
    <cfRule type="expression" dxfId="2419" priority="2401">
      <formula>$B29&lt;&gt;""</formula>
    </cfRule>
  </conditionalFormatting>
  <conditionalFormatting sqref="D29">
    <cfRule type="expression" dxfId="2418" priority="2400">
      <formula>OR($Z29=1,$Z29=12,$Z29=123)</formula>
    </cfRule>
  </conditionalFormatting>
  <conditionalFormatting sqref="E29">
    <cfRule type="expression" dxfId="2417" priority="2399">
      <formula>OR($Z29=2,$Z29=12,$Z29=123)</formula>
    </cfRule>
  </conditionalFormatting>
  <conditionalFormatting sqref="E31">
    <cfRule type="expression" dxfId="2416" priority="2398">
      <formula>$B31&lt;&gt;""</formula>
    </cfRule>
  </conditionalFormatting>
  <conditionalFormatting sqref="E31">
    <cfRule type="expression" dxfId="2415" priority="2397">
      <formula>OR($Z31=2,$Z31=12,$Z31=123)</formula>
    </cfRule>
  </conditionalFormatting>
  <conditionalFormatting sqref="D32:E32">
    <cfRule type="expression" dxfId="2414" priority="2396">
      <formula>$B32&lt;&gt;""</formula>
    </cfRule>
  </conditionalFormatting>
  <conditionalFormatting sqref="D32">
    <cfRule type="expression" dxfId="2413" priority="2395">
      <formula>OR($Z32=1,$Z32=12,$Z32=123)</formula>
    </cfRule>
  </conditionalFormatting>
  <conditionalFormatting sqref="E32">
    <cfRule type="expression" dxfId="2412" priority="2394">
      <formula>OR($Z32=2,$Z32=12,$Z32=123)</formula>
    </cfRule>
  </conditionalFormatting>
  <conditionalFormatting sqref="D31">
    <cfRule type="expression" dxfId="2411" priority="2393">
      <formula>$B31&lt;&gt;""</formula>
    </cfRule>
  </conditionalFormatting>
  <conditionalFormatting sqref="D31">
    <cfRule type="expression" dxfId="2410" priority="2392">
      <formula>OR($Z31=1,$Z31=12,$Z31=123)</formula>
    </cfRule>
  </conditionalFormatting>
  <conditionalFormatting sqref="A25:H25">
    <cfRule type="expression" dxfId="2409" priority="2391">
      <formula>$B25&lt;&gt;""</formula>
    </cfRule>
  </conditionalFormatting>
  <conditionalFormatting sqref="D25">
    <cfRule type="expression" dxfId="2408" priority="2390">
      <formula>OR($Z25=1,$Z25=12,$Z25=123)</formula>
    </cfRule>
  </conditionalFormatting>
  <conditionalFormatting sqref="E25">
    <cfRule type="expression" dxfId="2407" priority="2389">
      <formula>OR($Z25=2,$Z25=12,$Z25=123)</formula>
    </cfRule>
  </conditionalFormatting>
  <conditionalFormatting sqref="D26:E26">
    <cfRule type="expression" dxfId="2406" priority="2388">
      <formula>$B26&lt;&gt;""</formula>
    </cfRule>
  </conditionalFormatting>
  <conditionalFormatting sqref="D26">
    <cfRule type="expression" dxfId="2405" priority="2387">
      <formula>OR($Z26=1,$Z26=12,$Z26=123)</formula>
    </cfRule>
  </conditionalFormatting>
  <conditionalFormatting sqref="E26">
    <cfRule type="expression" dxfId="2404" priority="2386">
      <formula>OR($Z26=2,$Z26=12,$Z26=123)</formula>
    </cfRule>
  </conditionalFormatting>
  <conditionalFormatting sqref="D29:E29">
    <cfRule type="expression" dxfId="2403" priority="2385">
      <formula>$B29&lt;&gt;""</formula>
    </cfRule>
  </conditionalFormatting>
  <conditionalFormatting sqref="D29">
    <cfRule type="expression" dxfId="2402" priority="2384">
      <formula>OR($Z29=1,$Z29=12,$Z29=123)</formula>
    </cfRule>
  </conditionalFormatting>
  <conditionalFormatting sqref="E29">
    <cfRule type="expression" dxfId="2401" priority="2383">
      <formula>OR($Z29=2,$Z29=12,$Z29=123)</formula>
    </cfRule>
  </conditionalFormatting>
  <conditionalFormatting sqref="D27:E27">
    <cfRule type="expression" dxfId="2400" priority="2382">
      <formula>$B27&lt;&gt;""</formula>
    </cfRule>
  </conditionalFormatting>
  <conditionalFormatting sqref="D27">
    <cfRule type="expression" dxfId="2399" priority="2381">
      <formula>OR($Z27=1,$Z27=12,$Z27=123)</formula>
    </cfRule>
  </conditionalFormatting>
  <conditionalFormatting sqref="E27">
    <cfRule type="expression" dxfId="2398" priority="2380">
      <formula>OR($Z27=2,$Z27=12,$Z27=123)</formula>
    </cfRule>
  </conditionalFormatting>
  <conditionalFormatting sqref="D28:E28">
    <cfRule type="expression" dxfId="2397" priority="2379">
      <formula>$B28&lt;&gt;""</formula>
    </cfRule>
  </conditionalFormatting>
  <conditionalFormatting sqref="D28">
    <cfRule type="expression" dxfId="2396" priority="2378">
      <formula>OR($Z28=1,$Z28=12,$Z28=123)</formula>
    </cfRule>
  </conditionalFormatting>
  <conditionalFormatting sqref="E28">
    <cfRule type="expression" dxfId="2395" priority="2377">
      <formula>OR($Z28=2,$Z28=12,$Z28=123)</formula>
    </cfRule>
  </conditionalFormatting>
  <conditionalFormatting sqref="E30">
    <cfRule type="expression" dxfId="2394" priority="2376">
      <formula>$B30&lt;&gt;""</formula>
    </cfRule>
  </conditionalFormatting>
  <conditionalFormatting sqref="E30">
    <cfRule type="expression" dxfId="2393" priority="2375">
      <formula>OR($Z30=2,$Z30=12,$Z30=123)</formula>
    </cfRule>
  </conditionalFormatting>
  <conditionalFormatting sqref="D31:E31">
    <cfRule type="expression" dxfId="2392" priority="2374">
      <formula>$B31&lt;&gt;""</formula>
    </cfRule>
  </conditionalFormatting>
  <conditionalFormatting sqref="D31">
    <cfRule type="expression" dxfId="2391" priority="2373">
      <formula>OR($Z31=1,$Z31=12,$Z31=123)</formula>
    </cfRule>
  </conditionalFormatting>
  <conditionalFormatting sqref="E31">
    <cfRule type="expression" dxfId="2390" priority="2372">
      <formula>OR($Z31=2,$Z31=12,$Z31=123)</formula>
    </cfRule>
  </conditionalFormatting>
  <conditionalFormatting sqref="D33:E33">
    <cfRule type="expression" dxfId="2389" priority="2371">
      <formula>$B33&lt;&gt;""</formula>
    </cfRule>
  </conditionalFormatting>
  <conditionalFormatting sqref="D33">
    <cfRule type="expression" dxfId="2388" priority="2370">
      <formula>OR($Z33=1,$Z33=12,$Z33=123)</formula>
    </cfRule>
  </conditionalFormatting>
  <conditionalFormatting sqref="E33">
    <cfRule type="expression" dxfId="2387" priority="2369">
      <formula>OR($Z33=2,$Z33=12,$Z33=123)</formula>
    </cfRule>
  </conditionalFormatting>
  <conditionalFormatting sqref="D34:E34">
    <cfRule type="expression" dxfId="2386" priority="2368">
      <formula>$B34&lt;&gt;""</formula>
    </cfRule>
  </conditionalFormatting>
  <conditionalFormatting sqref="D34">
    <cfRule type="expression" dxfId="2385" priority="2367">
      <formula>OR($Z34=1,$Z34=12,$Z34=123)</formula>
    </cfRule>
  </conditionalFormatting>
  <conditionalFormatting sqref="E34">
    <cfRule type="expression" dxfId="2384" priority="2366">
      <formula>OR($Z34=2,$Z34=12,$Z34=123)</formula>
    </cfRule>
  </conditionalFormatting>
  <conditionalFormatting sqref="D36:E36">
    <cfRule type="expression" dxfId="2383" priority="2365">
      <formula>$B36&lt;&gt;""</formula>
    </cfRule>
  </conditionalFormatting>
  <conditionalFormatting sqref="D36">
    <cfRule type="expression" dxfId="2382" priority="2364">
      <formula>OR($Z36=1,$Z36=12,$Z36=123)</formula>
    </cfRule>
  </conditionalFormatting>
  <conditionalFormatting sqref="E36">
    <cfRule type="expression" dxfId="2381" priority="2363">
      <formula>OR($Z36=2,$Z36=12,$Z36=123)</formula>
    </cfRule>
  </conditionalFormatting>
  <conditionalFormatting sqref="D37:E37">
    <cfRule type="expression" dxfId="2380" priority="2362">
      <formula>$B37&lt;&gt;""</formula>
    </cfRule>
  </conditionalFormatting>
  <conditionalFormatting sqref="D37">
    <cfRule type="expression" dxfId="2379" priority="2361">
      <formula>OR($Z37=1,$Z37=12,$Z37=123)</formula>
    </cfRule>
  </conditionalFormatting>
  <conditionalFormatting sqref="E37">
    <cfRule type="expression" dxfId="2378" priority="2360">
      <formula>OR($Z37=2,$Z37=12,$Z37=123)</formula>
    </cfRule>
  </conditionalFormatting>
  <conditionalFormatting sqref="D38:E38">
    <cfRule type="expression" dxfId="2377" priority="2359">
      <formula>$B38&lt;&gt;""</formula>
    </cfRule>
  </conditionalFormatting>
  <conditionalFormatting sqref="D38">
    <cfRule type="expression" dxfId="2376" priority="2358">
      <formula>OR($Z38=1,$Z38=12,$Z38=123)</formula>
    </cfRule>
  </conditionalFormatting>
  <conditionalFormatting sqref="E38">
    <cfRule type="expression" dxfId="2375" priority="2357">
      <formula>OR($Z38=2,$Z38=12,$Z38=123)</formula>
    </cfRule>
  </conditionalFormatting>
  <conditionalFormatting sqref="D40:E40">
    <cfRule type="expression" dxfId="2374" priority="2356">
      <formula>$B40&lt;&gt;""</formula>
    </cfRule>
  </conditionalFormatting>
  <conditionalFormatting sqref="D40">
    <cfRule type="expression" dxfId="2373" priority="2355">
      <formula>OR($Z40=1,$Z40=12,$Z40=123)</formula>
    </cfRule>
  </conditionalFormatting>
  <conditionalFormatting sqref="E40">
    <cfRule type="expression" dxfId="2372" priority="2354">
      <formula>OR($Z40=2,$Z40=12,$Z40=123)</formula>
    </cfRule>
  </conditionalFormatting>
  <conditionalFormatting sqref="D41:E41">
    <cfRule type="expression" dxfId="2371" priority="2353">
      <formula>$B41&lt;&gt;""</formula>
    </cfRule>
  </conditionalFormatting>
  <conditionalFormatting sqref="D41">
    <cfRule type="expression" dxfId="2370" priority="2352">
      <formula>OR($Z41=1,$Z41=12,$Z41=123)</formula>
    </cfRule>
  </conditionalFormatting>
  <conditionalFormatting sqref="E41">
    <cfRule type="expression" dxfId="2369" priority="2351">
      <formula>OR($Z41=2,$Z41=12,$Z41=123)</formula>
    </cfRule>
  </conditionalFormatting>
  <conditionalFormatting sqref="D30">
    <cfRule type="expression" dxfId="2368" priority="2350">
      <formula>$B30&lt;&gt;""</formula>
    </cfRule>
  </conditionalFormatting>
  <conditionalFormatting sqref="D30">
    <cfRule type="expression" dxfId="2367" priority="2349">
      <formula>OR($Z30=1,$Z30=12,$Z30=123)</formula>
    </cfRule>
  </conditionalFormatting>
  <conditionalFormatting sqref="A26:H26">
    <cfRule type="expression" dxfId="2366" priority="2348">
      <formula>$B26&lt;&gt;""</formula>
    </cfRule>
  </conditionalFormatting>
  <conditionalFormatting sqref="D26">
    <cfRule type="expression" dxfId="2365" priority="2347">
      <formula>OR($Z26=1,$Z26=12,$Z26=123)</formula>
    </cfRule>
  </conditionalFormatting>
  <conditionalFormatting sqref="E26">
    <cfRule type="expression" dxfId="2364" priority="2346">
      <formula>OR($Z26=2,$Z26=12,$Z26=123)</formula>
    </cfRule>
  </conditionalFormatting>
  <conditionalFormatting sqref="D27:E27">
    <cfRule type="expression" dxfId="2363" priority="2345">
      <formula>$B27&lt;&gt;""</formula>
    </cfRule>
  </conditionalFormatting>
  <conditionalFormatting sqref="D27">
    <cfRule type="expression" dxfId="2362" priority="2344">
      <formula>OR($Z27=1,$Z27=12,$Z27=123)</formula>
    </cfRule>
  </conditionalFormatting>
  <conditionalFormatting sqref="E27">
    <cfRule type="expression" dxfId="2361" priority="2343">
      <formula>OR($Z27=2,$Z27=12,$Z27=123)</formula>
    </cfRule>
  </conditionalFormatting>
  <conditionalFormatting sqref="D30:E30">
    <cfRule type="expression" dxfId="2360" priority="2342">
      <formula>$B30&lt;&gt;""</formula>
    </cfRule>
  </conditionalFormatting>
  <conditionalFormatting sqref="D30">
    <cfRule type="expression" dxfId="2359" priority="2341">
      <formula>OR($Z30=1,$Z30=12,$Z30=123)</formula>
    </cfRule>
  </conditionalFormatting>
  <conditionalFormatting sqref="E30">
    <cfRule type="expression" dxfId="2358" priority="2340">
      <formula>OR($Z30=2,$Z30=12,$Z30=123)</formula>
    </cfRule>
  </conditionalFormatting>
  <conditionalFormatting sqref="D28:E28">
    <cfRule type="expression" dxfId="2357" priority="2339">
      <formula>$B28&lt;&gt;""</formula>
    </cfRule>
  </conditionalFormatting>
  <conditionalFormatting sqref="D28">
    <cfRule type="expression" dxfId="2356" priority="2338">
      <formula>OR($Z28=1,$Z28=12,$Z28=123)</formula>
    </cfRule>
  </conditionalFormatting>
  <conditionalFormatting sqref="E28">
    <cfRule type="expression" dxfId="2355" priority="2337">
      <formula>OR($Z28=2,$Z28=12,$Z28=123)</formula>
    </cfRule>
  </conditionalFormatting>
  <conditionalFormatting sqref="D29:E29">
    <cfRule type="expression" dxfId="2354" priority="2336">
      <formula>$B29&lt;&gt;""</formula>
    </cfRule>
  </conditionalFormatting>
  <conditionalFormatting sqref="D29">
    <cfRule type="expression" dxfId="2353" priority="2335">
      <formula>OR($Z29=1,$Z29=12,$Z29=123)</formula>
    </cfRule>
  </conditionalFormatting>
  <conditionalFormatting sqref="E29">
    <cfRule type="expression" dxfId="2352" priority="2334">
      <formula>OR($Z29=2,$Z29=12,$Z29=123)</formula>
    </cfRule>
  </conditionalFormatting>
  <conditionalFormatting sqref="E31">
    <cfRule type="expression" dxfId="2351" priority="2333">
      <formula>$B31&lt;&gt;""</formula>
    </cfRule>
  </conditionalFormatting>
  <conditionalFormatting sqref="E31">
    <cfRule type="expression" dxfId="2350" priority="2332">
      <formula>OR($Z31=2,$Z31=12,$Z31=123)</formula>
    </cfRule>
  </conditionalFormatting>
  <conditionalFormatting sqref="D32:E32">
    <cfRule type="expression" dxfId="2349" priority="2331">
      <formula>$B32&lt;&gt;""</formula>
    </cfRule>
  </conditionalFormatting>
  <conditionalFormatting sqref="D32">
    <cfRule type="expression" dxfId="2348" priority="2330">
      <formula>OR($Z32=1,$Z32=12,$Z32=123)</formula>
    </cfRule>
  </conditionalFormatting>
  <conditionalFormatting sqref="E32">
    <cfRule type="expression" dxfId="2347" priority="2329">
      <formula>OR($Z32=2,$Z32=12,$Z32=123)</formula>
    </cfRule>
  </conditionalFormatting>
  <conditionalFormatting sqref="D31">
    <cfRule type="expression" dxfId="2346" priority="2328">
      <formula>$B31&lt;&gt;""</formula>
    </cfRule>
  </conditionalFormatting>
  <conditionalFormatting sqref="D31">
    <cfRule type="expression" dxfId="2345" priority="2327">
      <formula>OR($Z31=1,$Z31=12,$Z31=123)</formula>
    </cfRule>
  </conditionalFormatting>
  <conditionalFormatting sqref="A26:H26">
    <cfRule type="expression" dxfId="2344" priority="2326">
      <formula>$B26&lt;&gt;""</formula>
    </cfRule>
  </conditionalFormatting>
  <conditionalFormatting sqref="D26">
    <cfRule type="expression" dxfId="2343" priority="2325">
      <formula>OR($Z26=1,$Z26=12,$Z26=123)</formula>
    </cfRule>
  </conditionalFormatting>
  <conditionalFormatting sqref="E26">
    <cfRule type="expression" dxfId="2342" priority="2324">
      <formula>OR($Z26=2,$Z26=12,$Z26=123)</formula>
    </cfRule>
  </conditionalFormatting>
  <conditionalFormatting sqref="D27:E27">
    <cfRule type="expression" dxfId="2341" priority="2323">
      <formula>$B27&lt;&gt;""</formula>
    </cfRule>
  </conditionalFormatting>
  <conditionalFormatting sqref="D27">
    <cfRule type="expression" dxfId="2340" priority="2322">
      <formula>OR($Z27=1,$Z27=12,$Z27=123)</formula>
    </cfRule>
  </conditionalFormatting>
  <conditionalFormatting sqref="E27">
    <cfRule type="expression" dxfId="2339" priority="2321">
      <formula>OR($Z27=2,$Z27=12,$Z27=123)</formula>
    </cfRule>
  </conditionalFormatting>
  <conditionalFormatting sqref="D30:E30">
    <cfRule type="expression" dxfId="2338" priority="2320">
      <formula>$B30&lt;&gt;""</formula>
    </cfRule>
  </conditionalFormatting>
  <conditionalFormatting sqref="D30">
    <cfRule type="expression" dxfId="2337" priority="2319">
      <formula>OR($Z30=1,$Z30=12,$Z30=123)</formula>
    </cfRule>
  </conditionalFormatting>
  <conditionalFormatting sqref="E30">
    <cfRule type="expression" dxfId="2336" priority="2318">
      <formula>OR($Z30=2,$Z30=12,$Z30=123)</formula>
    </cfRule>
  </conditionalFormatting>
  <conditionalFormatting sqref="D28:E28">
    <cfRule type="expression" dxfId="2335" priority="2317">
      <formula>$B28&lt;&gt;""</formula>
    </cfRule>
  </conditionalFormatting>
  <conditionalFormatting sqref="D28">
    <cfRule type="expression" dxfId="2334" priority="2316">
      <formula>OR($Z28=1,$Z28=12,$Z28=123)</formula>
    </cfRule>
  </conditionalFormatting>
  <conditionalFormatting sqref="E28">
    <cfRule type="expression" dxfId="2333" priority="2315">
      <formula>OR($Z28=2,$Z28=12,$Z28=123)</formula>
    </cfRule>
  </conditionalFormatting>
  <conditionalFormatting sqref="D29:E29">
    <cfRule type="expression" dxfId="2332" priority="2314">
      <formula>$B29&lt;&gt;""</formula>
    </cfRule>
  </conditionalFormatting>
  <conditionalFormatting sqref="D29">
    <cfRule type="expression" dxfId="2331" priority="2313">
      <formula>OR($Z29=1,$Z29=12,$Z29=123)</formula>
    </cfRule>
  </conditionalFormatting>
  <conditionalFormatting sqref="E29">
    <cfRule type="expression" dxfId="2330" priority="2312">
      <formula>OR($Z29=2,$Z29=12,$Z29=123)</formula>
    </cfRule>
  </conditionalFormatting>
  <conditionalFormatting sqref="E31">
    <cfRule type="expression" dxfId="2329" priority="2311">
      <formula>$B31&lt;&gt;""</formula>
    </cfRule>
  </conditionalFormatting>
  <conditionalFormatting sqref="E31">
    <cfRule type="expression" dxfId="2328" priority="2310">
      <formula>OR($Z31=2,$Z31=12,$Z31=123)</formula>
    </cfRule>
  </conditionalFormatting>
  <conditionalFormatting sqref="D32:E32">
    <cfRule type="expression" dxfId="2327" priority="2309">
      <formula>$B32&lt;&gt;""</formula>
    </cfRule>
  </conditionalFormatting>
  <conditionalFormatting sqref="D32">
    <cfRule type="expression" dxfId="2326" priority="2308">
      <formula>OR($Z32=1,$Z32=12,$Z32=123)</formula>
    </cfRule>
  </conditionalFormatting>
  <conditionalFormatting sqref="E32">
    <cfRule type="expression" dxfId="2325" priority="2307">
      <formula>OR($Z32=2,$Z32=12,$Z32=123)</formula>
    </cfRule>
  </conditionalFormatting>
  <conditionalFormatting sqref="D34:E34">
    <cfRule type="expression" dxfId="2324" priority="2306">
      <formula>$B34&lt;&gt;""</formula>
    </cfRule>
  </conditionalFormatting>
  <conditionalFormatting sqref="D34">
    <cfRule type="expression" dxfId="2323" priority="2305">
      <formula>OR($Z34=1,$Z34=12,$Z34=123)</formula>
    </cfRule>
  </conditionalFormatting>
  <conditionalFormatting sqref="E34">
    <cfRule type="expression" dxfId="2322" priority="2304">
      <formula>OR($Z34=2,$Z34=12,$Z34=123)</formula>
    </cfRule>
  </conditionalFormatting>
  <conditionalFormatting sqref="D35:E35">
    <cfRule type="expression" dxfId="2321" priority="2303">
      <formula>$B35&lt;&gt;""</formula>
    </cfRule>
  </conditionalFormatting>
  <conditionalFormatting sqref="D35">
    <cfRule type="expression" dxfId="2320" priority="2302">
      <formula>OR($Z35=1,$Z35=12,$Z35=123)</formula>
    </cfRule>
  </conditionalFormatting>
  <conditionalFormatting sqref="E35">
    <cfRule type="expression" dxfId="2319" priority="2301">
      <formula>OR($Z35=2,$Z35=12,$Z35=123)</formula>
    </cfRule>
  </conditionalFormatting>
  <conditionalFormatting sqref="D37:E37">
    <cfRule type="expression" dxfId="2318" priority="2300">
      <formula>$B37&lt;&gt;""</formula>
    </cfRule>
  </conditionalFormatting>
  <conditionalFormatting sqref="D37">
    <cfRule type="expression" dxfId="2317" priority="2299">
      <formula>OR($Z37=1,$Z37=12,$Z37=123)</formula>
    </cfRule>
  </conditionalFormatting>
  <conditionalFormatting sqref="E37">
    <cfRule type="expression" dxfId="2316" priority="2298">
      <formula>OR($Z37=2,$Z37=12,$Z37=123)</formula>
    </cfRule>
  </conditionalFormatting>
  <conditionalFormatting sqref="D38:E38">
    <cfRule type="expression" dxfId="2315" priority="2297">
      <formula>$B38&lt;&gt;""</formula>
    </cfRule>
  </conditionalFormatting>
  <conditionalFormatting sqref="D38">
    <cfRule type="expression" dxfId="2314" priority="2296">
      <formula>OR($Z38=1,$Z38=12,$Z38=123)</formula>
    </cfRule>
  </conditionalFormatting>
  <conditionalFormatting sqref="E38">
    <cfRule type="expression" dxfId="2313" priority="2295">
      <formula>OR($Z38=2,$Z38=12,$Z38=123)</formula>
    </cfRule>
  </conditionalFormatting>
  <conditionalFormatting sqref="D39:E39">
    <cfRule type="expression" dxfId="2312" priority="2294">
      <formula>$B39&lt;&gt;""</formula>
    </cfRule>
  </conditionalFormatting>
  <conditionalFormatting sqref="D39">
    <cfRule type="expression" dxfId="2311" priority="2293">
      <formula>OR($Z39=1,$Z39=12,$Z39=123)</formula>
    </cfRule>
  </conditionalFormatting>
  <conditionalFormatting sqref="E39">
    <cfRule type="expression" dxfId="2310" priority="2292">
      <formula>OR($Z39=2,$Z39=12,$Z39=123)</formula>
    </cfRule>
  </conditionalFormatting>
  <conditionalFormatting sqref="D41:E41">
    <cfRule type="expression" dxfId="2309" priority="2291">
      <formula>$B41&lt;&gt;""</formula>
    </cfRule>
  </conditionalFormatting>
  <conditionalFormatting sqref="D41">
    <cfRule type="expression" dxfId="2308" priority="2290">
      <formula>OR($Z41=1,$Z41=12,$Z41=123)</formula>
    </cfRule>
  </conditionalFormatting>
  <conditionalFormatting sqref="E41">
    <cfRule type="expression" dxfId="2307" priority="2289">
      <formula>OR($Z41=2,$Z41=12,$Z41=123)</formula>
    </cfRule>
  </conditionalFormatting>
  <conditionalFormatting sqref="D42:E42">
    <cfRule type="expression" dxfId="2306" priority="2288">
      <formula>$B42&lt;&gt;""</formula>
    </cfRule>
  </conditionalFormatting>
  <conditionalFormatting sqref="D42">
    <cfRule type="expression" dxfId="2305" priority="2287">
      <formula>OR($Z42=1,$Z42=12,$Z42=123)</formula>
    </cfRule>
  </conditionalFormatting>
  <conditionalFormatting sqref="E42">
    <cfRule type="expression" dxfId="2304" priority="2286">
      <formula>OR($Z42=2,$Z42=12,$Z42=123)</formula>
    </cfRule>
  </conditionalFormatting>
  <conditionalFormatting sqref="D31">
    <cfRule type="expression" dxfId="2303" priority="2285">
      <formula>$B31&lt;&gt;""</formula>
    </cfRule>
  </conditionalFormatting>
  <conditionalFormatting sqref="D31">
    <cfRule type="expression" dxfId="2302" priority="2284">
      <formula>OR($Z31=1,$Z31=12,$Z31=123)</formula>
    </cfRule>
  </conditionalFormatting>
  <conditionalFormatting sqref="A27:H27">
    <cfRule type="expression" dxfId="2301" priority="2283">
      <formula>$B27&lt;&gt;""</formula>
    </cfRule>
  </conditionalFormatting>
  <conditionalFormatting sqref="D27">
    <cfRule type="expression" dxfId="2300" priority="2282">
      <formula>OR($Z27=1,$Z27=12,$Z27=123)</formula>
    </cfRule>
  </conditionalFormatting>
  <conditionalFormatting sqref="E27">
    <cfRule type="expression" dxfId="2299" priority="2281">
      <formula>OR($Z27=2,$Z27=12,$Z27=123)</formula>
    </cfRule>
  </conditionalFormatting>
  <conditionalFormatting sqref="D28:E28">
    <cfRule type="expression" dxfId="2298" priority="2280">
      <formula>$B28&lt;&gt;""</formula>
    </cfRule>
  </conditionalFormatting>
  <conditionalFormatting sqref="D28">
    <cfRule type="expression" dxfId="2297" priority="2279">
      <formula>OR($Z28=1,$Z28=12,$Z28=123)</formula>
    </cfRule>
  </conditionalFormatting>
  <conditionalFormatting sqref="E28">
    <cfRule type="expression" dxfId="2296" priority="2278">
      <formula>OR($Z28=2,$Z28=12,$Z28=123)</formula>
    </cfRule>
  </conditionalFormatting>
  <conditionalFormatting sqref="D31:E31">
    <cfRule type="expression" dxfId="2295" priority="2277">
      <formula>$B31&lt;&gt;""</formula>
    </cfRule>
  </conditionalFormatting>
  <conditionalFormatting sqref="D31">
    <cfRule type="expression" dxfId="2294" priority="2276">
      <formula>OR($Z31=1,$Z31=12,$Z31=123)</formula>
    </cfRule>
  </conditionalFormatting>
  <conditionalFormatting sqref="E31">
    <cfRule type="expression" dxfId="2293" priority="2275">
      <formula>OR($Z31=2,$Z31=12,$Z31=123)</formula>
    </cfRule>
  </conditionalFormatting>
  <conditionalFormatting sqref="D29:E29">
    <cfRule type="expression" dxfId="2292" priority="2274">
      <formula>$B29&lt;&gt;""</formula>
    </cfRule>
  </conditionalFormatting>
  <conditionalFormatting sqref="D29">
    <cfRule type="expression" dxfId="2291" priority="2273">
      <formula>OR($Z29=1,$Z29=12,$Z29=123)</formula>
    </cfRule>
  </conditionalFormatting>
  <conditionalFormatting sqref="E29">
    <cfRule type="expression" dxfId="2290" priority="2272">
      <formula>OR($Z29=2,$Z29=12,$Z29=123)</formula>
    </cfRule>
  </conditionalFormatting>
  <conditionalFormatting sqref="D30:E30">
    <cfRule type="expression" dxfId="2289" priority="2271">
      <formula>$B30&lt;&gt;""</formula>
    </cfRule>
  </conditionalFormatting>
  <conditionalFormatting sqref="D30">
    <cfRule type="expression" dxfId="2288" priority="2270">
      <formula>OR($Z30=1,$Z30=12,$Z30=123)</formula>
    </cfRule>
  </conditionalFormatting>
  <conditionalFormatting sqref="E30">
    <cfRule type="expression" dxfId="2287" priority="2269">
      <formula>OR($Z30=2,$Z30=12,$Z30=123)</formula>
    </cfRule>
  </conditionalFormatting>
  <conditionalFormatting sqref="E32">
    <cfRule type="expression" dxfId="2286" priority="2268">
      <formula>$B32&lt;&gt;""</formula>
    </cfRule>
  </conditionalFormatting>
  <conditionalFormatting sqref="E32">
    <cfRule type="expression" dxfId="2285" priority="2267">
      <formula>OR($Z32=2,$Z32=12,$Z32=123)</formula>
    </cfRule>
  </conditionalFormatting>
  <conditionalFormatting sqref="D33:E33">
    <cfRule type="expression" dxfId="2284" priority="2266">
      <formula>$B33&lt;&gt;""</formula>
    </cfRule>
  </conditionalFormatting>
  <conditionalFormatting sqref="D33">
    <cfRule type="expression" dxfId="2283" priority="2265">
      <formula>OR($Z33=1,$Z33=12,$Z33=123)</formula>
    </cfRule>
  </conditionalFormatting>
  <conditionalFormatting sqref="E33">
    <cfRule type="expression" dxfId="2282" priority="2264">
      <formula>OR($Z33=2,$Z33=12,$Z33=123)</formula>
    </cfRule>
  </conditionalFormatting>
  <conditionalFormatting sqref="D32">
    <cfRule type="expression" dxfId="2281" priority="2263">
      <formula>$B32&lt;&gt;""</formula>
    </cfRule>
  </conditionalFormatting>
  <conditionalFormatting sqref="D32">
    <cfRule type="expression" dxfId="2280" priority="2262">
      <formula>OR($Z32=1,$Z32=12,$Z32=123)</formula>
    </cfRule>
  </conditionalFormatting>
  <conditionalFormatting sqref="D31:E31">
    <cfRule type="expression" dxfId="2279" priority="2261">
      <formula>$B31&lt;&gt;""</formula>
    </cfRule>
  </conditionalFormatting>
  <conditionalFormatting sqref="D31">
    <cfRule type="expression" dxfId="2278" priority="2260">
      <formula>OR($Z31=1,$Z31=12,$Z31=123)</formula>
    </cfRule>
  </conditionalFormatting>
  <conditionalFormatting sqref="E31">
    <cfRule type="expression" dxfId="2277" priority="2259">
      <formula>OR($Z31=2,$Z31=12,$Z31=123)</formula>
    </cfRule>
  </conditionalFormatting>
  <conditionalFormatting sqref="D32:E32">
    <cfRule type="expression" dxfId="2276" priority="2258">
      <formula>$B32&lt;&gt;""</formula>
    </cfRule>
  </conditionalFormatting>
  <conditionalFormatting sqref="D32">
    <cfRule type="expression" dxfId="2275" priority="2257">
      <formula>OR($Z32=1,$Z32=12,$Z32=123)</formula>
    </cfRule>
  </conditionalFormatting>
  <conditionalFormatting sqref="E32">
    <cfRule type="expression" dxfId="2274" priority="2256">
      <formula>OR($Z32=2,$Z32=12,$Z32=123)</formula>
    </cfRule>
  </conditionalFormatting>
  <conditionalFormatting sqref="D34:E34">
    <cfRule type="expression" dxfId="2273" priority="2255">
      <formula>$B34&lt;&gt;""</formula>
    </cfRule>
  </conditionalFormatting>
  <conditionalFormatting sqref="D34">
    <cfRule type="expression" dxfId="2272" priority="2254">
      <formula>OR($Z34=1,$Z34=12,$Z34=123)</formula>
    </cfRule>
  </conditionalFormatting>
  <conditionalFormatting sqref="E34">
    <cfRule type="expression" dxfId="2271" priority="2253">
      <formula>OR($Z34=2,$Z34=12,$Z34=123)</formula>
    </cfRule>
  </conditionalFormatting>
  <conditionalFormatting sqref="D35:E35">
    <cfRule type="expression" dxfId="2270" priority="2252">
      <formula>$B35&lt;&gt;""</formula>
    </cfRule>
  </conditionalFormatting>
  <conditionalFormatting sqref="D35">
    <cfRule type="expression" dxfId="2269" priority="2251">
      <formula>OR($Z35=1,$Z35=12,$Z35=123)</formula>
    </cfRule>
  </conditionalFormatting>
  <conditionalFormatting sqref="E35">
    <cfRule type="expression" dxfId="2268" priority="2250">
      <formula>OR($Z35=2,$Z35=12,$Z35=123)</formula>
    </cfRule>
  </conditionalFormatting>
  <conditionalFormatting sqref="D36:E36">
    <cfRule type="expression" dxfId="2267" priority="2249">
      <formula>$B36&lt;&gt;""</formula>
    </cfRule>
  </conditionalFormatting>
  <conditionalFormatting sqref="D36">
    <cfRule type="expression" dxfId="2266" priority="2248">
      <formula>OR($Z36=1,$Z36=12,$Z36=123)</formula>
    </cfRule>
  </conditionalFormatting>
  <conditionalFormatting sqref="E36">
    <cfRule type="expression" dxfId="2265" priority="2247">
      <formula>OR($Z36=2,$Z36=12,$Z36=123)</formula>
    </cfRule>
  </conditionalFormatting>
  <conditionalFormatting sqref="D38:E38">
    <cfRule type="expression" dxfId="2264" priority="2246">
      <formula>$B38&lt;&gt;""</formula>
    </cfRule>
  </conditionalFormatting>
  <conditionalFormatting sqref="D38">
    <cfRule type="expression" dxfId="2263" priority="2245">
      <formula>OR($Z38=1,$Z38=12,$Z38=123)</formula>
    </cfRule>
  </conditionalFormatting>
  <conditionalFormatting sqref="E38">
    <cfRule type="expression" dxfId="2262" priority="2244">
      <formula>OR($Z38=2,$Z38=12,$Z38=123)</formula>
    </cfRule>
  </conditionalFormatting>
  <conditionalFormatting sqref="D39:E39">
    <cfRule type="expression" dxfId="2261" priority="2243">
      <formula>$B39&lt;&gt;""</formula>
    </cfRule>
  </conditionalFormatting>
  <conditionalFormatting sqref="D39">
    <cfRule type="expression" dxfId="2260" priority="2242">
      <formula>OR($Z39=1,$Z39=12,$Z39=123)</formula>
    </cfRule>
  </conditionalFormatting>
  <conditionalFormatting sqref="E39">
    <cfRule type="expression" dxfId="2259" priority="2241">
      <formula>OR($Z39=2,$Z39=12,$Z39=123)</formula>
    </cfRule>
  </conditionalFormatting>
  <conditionalFormatting sqref="D41:E41">
    <cfRule type="expression" dxfId="2258" priority="2240">
      <formula>$B41&lt;&gt;""</formula>
    </cfRule>
  </conditionalFormatting>
  <conditionalFormatting sqref="D41">
    <cfRule type="expression" dxfId="2257" priority="2239">
      <formula>OR($Z41=1,$Z41=12,$Z41=123)</formula>
    </cfRule>
  </conditionalFormatting>
  <conditionalFormatting sqref="E41">
    <cfRule type="expression" dxfId="2256" priority="2238">
      <formula>OR($Z41=2,$Z41=12,$Z41=123)</formula>
    </cfRule>
  </conditionalFormatting>
  <conditionalFormatting sqref="D32:E32">
    <cfRule type="expression" dxfId="2255" priority="2237">
      <formula>$B32&lt;&gt;""</formula>
    </cfRule>
  </conditionalFormatting>
  <conditionalFormatting sqref="D32">
    <cfRule type="expression" dxfId="2254" priority="2236">
      <formula>OR($Z32=1,$Z32=12,$Z32=123)</formula>
    </cfRule>
  </conditionalFormatting>
  <conditionalFormatting sqref="E32">
    <cfRule type="expression" dxfId="2253" priority="2235">
      <formula>OR($Z32=2,$Z32=12,$Z32=123)</formula>
    </cfRule>
  </conditionalFormatting>
  <conditionalFormatting sqref="D33:E33">
    <cfRule type="expression" dxfId="2252" priority="2234">
      <formula>$B33&lt;&gt;""</formula>
    </cfRule>
  </conditionalFormatting>
  <conditionalFormatting sqref="D33">
    <cfRule type="expression" dxfId="2251" priority="2233">
      <formula>OR($Z33=1,$Z33=12,$Z33=123)</formula>
    </cfRule>
  </conditionalFormatting>
  <conditionalFormatting sqref="E33">
    <cfRule type="expression" dxfId="2250" priority="2232">
      <formula>OR($Z33=2,$Z33=12,$Z33=123)</formula>
    </cfRule>
  </conditionalFormatting>
  <conditionalFormatting sqref="D35:E35">
    <cfRule type="expression" dxfId="2249" priority="2231">
      <formula>$B35&lt;&gt;""</formula>
    </cfRule>
  </conditionalFormatting>
  <conditionalFormatting sqref="D35">
    <cfRule type="expression" dxfId="2248" priority="2230">
      <formula>OR($Z35=1,$Z35=12,$Z35=123)</formula>
    </cfRule>
  </conditionalFormatting>
  <conditionalFormatting sqref="E35">
    <cfRule type="expression" dxfId="2247" priority="2229">
      <formula>OR($Z35=2,$Z35=12,$Z35=123)</formula>
    </cfRule>
  </conditionalFormatting>
  <conditionalFormatting sqref="D36:E36">
    <cfRule type="expression" dxfId="2246" priority="2228">
      <formula>$B36&lt;&gt;""</formula>
    </cfRule>
  </conditionalFormatting>
  <conditionalFormatting sqref="D36">
    <cfRule type="expression" dxfId="2245" priority="2227">
      <formula>OR($Z36=1,$Z36=12,$Z36=123)</formula>
    </cfRule>
  </conditionalFormatting>
  <conditionalFormatting sqref="E36">
    <cfRule type="expression" dxfId="2244" priority="2226">
      <formula>OR($Z36=2,$Z36=12,$Z36=123)</formula>
    </cfRule>
  </conditionalFormatting>
  <conditionalFormatting sqref="D37:E37">
    <cfRule type="expression" dxfId="2243" priority="2225">
      <formula>$B37&lt;&gt;""</formula>
    </cfRule>
  </conditionalFormatting>
  <conditionalFormatting sqref="D37">
    <cfRule type="expression" dxfId="2242" priority="2224">
      <formula>OR($Z37=1,$Z37=12,$Z37=123)</formula>
    </cfRule>
  </conditionalFormatting>
  <conditionalFormatting sqref="E37">
    <cfRule type="expression" dxfId="2241" priority="2223">
      <formula>OR($Z37=2,$Z37=12,$Z37=123)</formula>
    </cfRule>
  </conditionalFormatting>
  <conditionalFormatting sqref="D39:E39">
    <cfRule type="expression" dxfId="2240" priority="2222">
      <formula>$B39&lt;&gt;""</formula>
    </cfRule>
  </conditionalFormatting>
  <conditionalFormatting sqref="D39">
    <cfRule type="expression" dxfId="2239" priority="2221">
      <formula>OR($Z39=1,$Z39=12,$Z39=123)</formula>
    </cfRule>
  </conditionalFormatting>
  <conditionalFormatting sqref="E39">
    <cfRule type="expression" dxfId="2238" priority="2220">
      <formula>OR($Z39=2,$Z39=12,$Z39=123)</formula>
    </cfRule>
  </conditionalFormatting>
  <conditionalFormatting sqref="D40:E40">
    <cfRule type="expression" dxfId="2237" priority="2219">
      <formula>$B40&lt;&gt;""</formula>
    </cfRule>
  </conditionalFormatting>
  <conditionalFormatting sqref="D40">
    <cfRule type="expression" dxfId="2236" priority="2218">
      <formula>OR($Z40=1,$Z40=12,$Z40=123)</formula>
    </cfRule>
  </conditionalFormatting>
  <conditionalFormatting sqref="E40">
    <cfRule type="expression" dxfId="2235" priority="2217">
      <formula>OR($Z40=2,$Z40=12,$Z40=123)</formula>
    </cfRule>
  </conditionalFormatting>
  <conditionalFormatting sqref="D31:E31">
    <cfRule type="expression" dxfId="2234" priority="2216">
      <formula>$B31&lt;&gt;""</formula>
    </cfRule>
  </conditionalFormatting>
  <conditionalFormatting sqref="D31">
    <cfRule type="expression" dxfId="2233" priority="2215">
      <formula>OR($Z31=1,$Z31=12,$Z31=123)</formula>
    </cfRule>
  </conditionalFormatting>
  <conditionalFormatting sqref="E31">
    <cfRule type="expression" dxfId="2232" priority="2214">
      <formula>OR($Z31=2,$Z31=12,$Z31=123)</formula>
    </cfRule>
  </conditionalFormatting>
  <conditionalFormatting sqref="D32:E32">
    <cfRule type="expression" dxfId="2231" priority="2213">
      <formula>$B32&lt;&gt;""</formula>
    </cfRule>
  </conditionalFormatting>
  <conditionalFormatting sqref="D32">
    <cfRule type="expression" dxfId="2230" priority="2212">
      <formula>OR($Z32=1,$Z32=12,$Z32=123)</formula>
    </cfRule>
  </conditionalFormatting>
  <conditionalFormatting sqref="E32">
    <cfRule type="expression" dxfId="2229" priority="2211">
      <formula>OR($Z32=2,$Z32=12,$Z32=123)</formula>
    </cfRule>
  </conditionalFormatting>
  <conditionalFormatting sqref="D33:E33">
    <cfRule type="expression" dxfId="2228" priority="2210">
      <formula>$B33&lt;&gt;""</formula>
    </cfRule>
  </conditionalFormatting>
  <conditionalFormatting sqref="D33">
    <cfRule type="expression" dxfId="2227" priority="2209">
      <formula>OR($Z33=1,$Z33=12,$Z33=123)</formula>
    </cfRule>
  </conditionalFormatting>
  <conditionalFormatting sqref="E33">
    <cfRule type="expression" dxfId="2226" priority="2208">
      <formula>OR($Z33=2,$Z33=12,$Z33=123)</formula>
    </cfRule>
  </conditionalFormatting>
  <conditionalFormatting sqref="D35:E35">
    <cfRule type="expression" dxfId="2225" priority="2207">
      <formula>$B35&lt;&gt;""</formula>
    </cfRule>
  </conditionalFormatting>
  <conditionalFormatting sqref="D35">
    <cfRule type="expression" dxfId="2224" priority="2206">
      <formula>OR($Z35=1,$Z35=12,$Z35=123)</formula>
    </cfRule>
  </conditionalFormatting>
  <conditionalFormatting sqref="E35">
    <cfRule type="expression" dxfId="2223" priority="2205">
      <formula>OR($Z35=2,$Z35=12,$Z35=123)</formula>
    </cfRule>
  </conditionalFormatting>
  <conditionalFormatting sqref="D36:E36">
    <cfRule type="expression" dxfId="2222" priority="2204">
      <formula>$B36&lt;&gt;""</formula>
    </cfRule>
  </conditionalFormatting>
  <conditionalFormatting sqref="D36">
    <cfRule type="expression" dxfId="2221" priority="2203">
      <formula>OR($Z36=1,$Z36=12,$Z36=123)</formula>
    </cfRule>
  </conditionalFormatting>
  <conditionalFormatting sqref="E36">
    <cfRule type="expression" dxfId="2220" priority="2202">
      <formula>OR($Z36=2,$Z36=12,$Z36=123)</formula>
    </cfRule>
  </conditionalFormatting>
  <conditionalFormatting sqref="D37:E37">
    <cfRule type="expression" dxfId="2219" priority="2201">
      <formula>$B37&lt;&gt;""</formula>
    </cfRule>
  </conditionalFormatting>
  <conditionalFormatting sqref="D37">
    <cfRule type="expression" dxfId="2218" priority="2200">
      <formula>OR($Z37=1,$Z37=12,$Z37=123)</formula>
    </cfRule>
  </conditionalFormatting>
  <conditionalFormatting sqref="E37">
    <cfRule type="expression" dxfId="2217" priority="2199">
      <formula>OR($Z37=2,$Z37=12,$Z37=123)</formula>
    </cfRule>
  </conditionalFormatting>
  <conditionalFormatting sqref="D39:E39">
    <cfRule type="expression" dxfId="2216" priority="2198">
      <formula>$B39&lt;&gt;""</formula>
    </cfRule>
  </conditionalFormatting>
  <conditionalFormatting sqref="D39">
    <cfRule type="expression" dxfId="2215" priority="2197">
      <formula>OR($Z39=1,$Z39=12,$Z39=123)</formula>
    </cfRule>
  </conditionalFormatting>
  <conditionalFormatting sqref="E39">
    <cfRule type="expression" dxfId="2214" priority="2196">
      <formula>OR($Z39=2,$Z39=12,$Z39=123)</formula>
    </cfRule>
  </conditionalFormatting>
  <conditionalFormatting sqref="D40:E40">
    <cfRule type="expression" dxfId="2213" priority="2195">
      <formula>$B40&lt;&gt;""</formula>
    </cfRule>
  </conditionalFormatting>
  <conditionalFormatting sqref="D40">
    <cfRule type="expression" dxfId="2212" priority="2194">
      <formula>OR($Z40=1,$Z40=12,$Z40=123)</formula>
    </cfRule>
  </conditionalFormatting>
  <conditionalFormatting sqref="E40">
    <cfRule type="expression" dxfId="2211" priority="2193">
      <formula>OR($Z40=2,$Z40=12,$Z40=123)</formula>
    </cfRule>
  </conditionalFormatting>
  <conditionalFormatting sqref="D31:E31">
    <cfRule type="expression" dxfId="2210" priority="2192">
      <formula>$B31&lt;&gt;""</formula>
    </cfRule>
  </conditionalFormatting>
  <conditionalFormatting sqref="D31">
    <cfRule type="expression" dxfId="2209" priority="2191">
      <formula>OR($Z31=1,$Z31=12,$Z31=123)</formula>
    </cfRule>
  </conditionalFormatting>
  <conditionalFormatting sqref="E31">
    <cfRule type="expression" dxfId="2208" priority="2190">
      <formula>OR($Z31=2,$Z31=12,$Z31=123)</formula>
    </cfRule>
  </conditionalFormatting>
  <conditionalFormatting sqref="D31:E31">
    <cfRule type="expression" dxfId="2207" priority="2189">
      <formula>$B31&lt;&gt;""</formula>
    </cfRule>
  </conditionalFormatting>
  <conditionalFormatting sqref="D31">
    <cfRule type="expression" dxfId="2206" priority="2188">
      <formula>OR($Z31=1,$Z31=12,$Z31=123)</formula>
    </cfRule>
  </conditionalFormatting>
  <conditionalFormatting sqref="E31">
    <cfRule type="expression" dxfId="2205" priority="2187">
      <formula>OR($Z31=2,$Z31=12,$Z31=123)</formula>
    </cfRule>
  </conditionalFormatting>
  <conditionalFormatting sqref="D33:E33">
    <cfRule type="expression" dxfId="2204" priority="2186">
      <formula>$B33&lt;&gt;""</formula>
    </cfRule>
  </conditionalFormatting>
  <conditionalFormatting sqref="D33">
    <cfRule type="expression" dxfId="2203" priority="2185">
      <formula>OR($Z33=1,$Z33=12,$Z33=123)</formula>
    </cfRule>
  </conditionalFormatting>
  <conditionalFormatting sqref="E33">
    <cfRule type="expression" dxfId="2202" priority="2184">
      <formula>OR($Z33=2,$Z33=12,$Z33=123)</formula>
    </cfRule>
  </conditionalFormatting>
  <conditionalFormatting sqref="D34:E34">
    <cfRule type="expression" dxfId="2201" priority="2183">
      <formula>$B34&lt;&gt;""</formula>
    </cfRule>
  </conditionalFormatting>
  <conditionalFormatting sqref="D34">
    <cfRule type="expression" dxfId="2200" priority="2182">
      <formula>OR($Z34=1,$Z34=12,$Z34=123)</formula>
    </cfRule>
  </conditionalFormatting>
  <conditionalFormatting sqref="E34">
    <cfRule type="expression" dxfId="2199" priority="2181">
      <formula>OR($Z34=2,$Z34=12,$Z34=123)</formula>
    </cfRule>
  </conditionalFormatting>
  <conditionalFormatting sqref="D36:E36">
    <cfRule type="expression" dxfId="2198" priority="2180">
      <formula>$B36&lt;&gt;""</formula>
    </cfRule>
  </conditionalFormatting>
  <conditionalFormatting sqref="D36">
    <cfRule type="expression" dxfId="2197" priority="2179">
      <formula>OR($Z36=1,$Z36=12,$Z36=123)</formula>
    </cfRule>
  </conditionalFormatting>
  <conditionalFormatting sqref="E36">
    <cfRule type="expression" dxfId="2196" priority="2178">
      <formula>OR($Z36=2,$Z36=12,$Z36=123)</formula>
    </cfRule>
  </conditionalFormatting>
  <conditionalFormatting sqref="D37:E37">
    <cfRule type="expression" dxfId="2195" priority="2177">
      <formula>$B37&lt;&gt;""</formula>
    </cfRule>
  </conditionalFormatting>
  <conditionalFormatting sqref="D37">
    <cfRule type="expression" dxfId="2194" priority="2176">
      <formula>OR($Z37=1,$Z37=12,$Z37=123)</formula>
    </cfRule>
  </conditionalFormatting>
  <conditionalFormatting sqref="E37">
    <cfRule type="expression" dxfId="2193" priority="2175">
      <formula>OR($Z37=2,$Z37=12,$Z37=123)</formula>
    </cfRule>
  </conditionalFormatting>
  <conditionalFormatting sqref="D38:E38">
    <cfRule type="expression" dxfId="2192" priority="2174">
      <formula>$B38&lt;&gt;""</formula>
    </cfRule>
  </conditionalFormatting>
  <conditionalFormatting sqref="D38">
    <cfRule type="expression" dxfId="2191" priority="2173">
      <formula>OR($Z38=1,$Z38=12,$Z38=123)</formula>
    </cfRule>
  </conditionalFormatting>
  <conditionalFormatting sqref="E38">
    <cfRule type="expression" dxfId="2190" priority="2172">
      <formula>OR($Z38=2,$Z38=12,$Z38=123)</formula>
    </cfRule>
  </conditionalFormatting>
  <conditionalFormatting sqref="D40:E40">
    <cfRule type="expression" dxfId="2189" priority="2171">
      <formula>$B40&lt;&gt;""</formula>
    </cfRule>
  </conditionalFormatting>
  <conditionalFormatting sqref="D40">
    <cfRule type="expression" dxfId="2188" priority="2170">
      <formula>OR($Z40=1,$Z40=12,$Z40=123)</formula>
    </cfRule>
  </conditionalFormatting>
  <conditionalFormatting sqref="E40">
    <cfRule type="expression" dxfId="2187" priority="2169">
      <formula>OR($Z40=2,$Z40=12,$Z40=123)</formula>
    </cfRule>
  </conditionalFormatting>
  <conditionalFormatting sqref="D41:E41">
    <cfRule type="expression" dxfId="2186" priority="2168">
      <formula>$B41&lt;&gt;""</formula>
    </cfRule>
  </conditionalFormatting>
  <conditionalFormatting sqref="D41">
    <cfRule type="expression" dxfId="2185" priority="2167">
      <formula>OR($Z41=1,$Z41=12,$Z41=123)</formula>
    </cfRule>
  </conditionalFormatting>
  <conditionalFormatting sqref="E41">
    <cfRule type="expression" dxfId="2184" priority="2166">
      <formula>OR($Z41=2,$Z41=12,$Z41=123)</formula>
    </cfRule>
  </conditionalFormatting>
  <conditionalFormatting sqref="E31">
    <cfRule type="expression" dxfId="2183" priority="2165">
      <formula>$B31&lt;&gt;""</formula>
    </cfRule>
  </conditionalFormatting>
  <conditionalFormatting sqref="E31">
    <cfRule type="expression" dxfId="2182" priority="2164">
      <formula>OR($Z31=2,$Z31=12,$Z31=123)</formula>
    </cfRule>
  </conditionalFormatting>
  <conditionalFormatting sqref="D32:E32">
    <cfRule type="expression" dxfId="2181" priority="2163">
      <formula>$B32&lt;&gt;""</formula>
    </cfRule>
  </conditionalFormatting>
  <conditionalFormatting sqref="D32">
    <cfRule type="expression" dxfId="2180" priority="2162">
      <formula>OR($Z32=1,$Z32=12,$Z32=123)</formula>
    </cfRule>
  </conditionalFormatting>
  <conditionalFormatting sqref="E32">
    <cfRule type="expression" dxfId="2179" priority="2161">
      <formula>OR($Z32=2,$Z32=12,$Z32=123)</formula>
    </cfRule>
  </conditionalFormatting>
  <conditionalFormatting sqref="D31">
    <cfRule type="expression" dxfId="2178" priority="2160">
      <formula>$B31&lt;&gt;""</formula>
    </cfRule>
  </conditionalFormatting>
  <conditionalFormatting sqref="D31">
    <cfRule type="expression" dxfId="2177" priority="2159">
      <formula>OR($Z31=1,$Z31=12,$Z31=123)</formula>
    </cfRule>
  </conditionalFormatting>
  <conditionalFormatting sqref="A25:H25">
    <cfRule type="expression" dxfId="2176" priority="2158">
      <formula>$B25&lt;&gt;""</formula>
    </cfRule>
  </conditionalFormatting>
  <conditionalFormatting sqref="D25">
    <cfRule type="expression" dxfId="2175" priority="2157">
      <formula>OR($Z25=1,$Z25=12,$Z25=123)</formula>
    </cfRule>
  </conditionalFormatting>
  <conditionalFormatting sqref="E25">
    <cfRule type="expression" dxfId="2174" priority="2156">
      <formula>OR($Z25=2,$Z25=12,$Z25=123)</formula>
    </cfRule>
  </conditionalFormatting>
  <conditionalFormatting sqref="D26:E26">
    <cfRule type="expression" dxfId="2173" priority="2155">
      <formula>$B26&lt;&gt;""</formula>
    </cfRule>
  </conditionalFormatting>
  <conditionalFormatting sqref="D26">
    <cfRule type="expression" dxfId="2172" priority="2154">
      <formula>OR($Z26=1,$Z26=12,$Z26=123)</formula>
    </cfRule>
  </conditionalFormatting>
  <conditionalFormatting sqref="E26">
    <cfRule type="expression" dxfId="2171" priority="2153">
      <formula>OR($Z26=2,$Z26=12,$Z26=123)</formula>
    </cfRule>
  </conditionalFormatting>
  <conditionalFormatting sqref="D29:E29">
    <cfRule type="expression" dxfId="2170" priority="2152">
      <formula>$B29&lt;&gt;""</formula>
    </cfRule>
  </conditionalFormatting>
  <conditionalFormatting sqref="D29">
    <cfRule type="expression" dxfId="2169" priority="2151">
      <formula>OR($Z29=1,$Z29=12,$Z29=123)</formula>
    </cfRule>
  </conditionalFormatting>
  <conditionalFormatting sqref="E29">
    <cfRule type="expression" dxfId="2168" priority="2150">
      <formula>OR($Z29=2,$Z29=12,$Z29=123)</formula>
    </cfRule>
  </conditionalFormatting>
  <conditionalFormatting sqref="A45:H45">
    <cfRule type="expression" dxfId="2167" priority="2149">
      <formula>$B45&lt;&gt;""</formula>
    </cfRule>
  </conditionalFormatting>
  <conditionalFormatting sqref="D45">
    <cfRule type="expression" dxfId="2166" priority="2148">
      <formula>OR($Z45=1,$Z45=12,$Z45=123)</formula>
    </cfRule>
  </conditionalFormatting>
  <conditionalFormatting sqref="E45">
    <cfRule type="expression" dxfId="2165" priority="2147">
      <formula>OR($Z45=2,$Z45=12,$Z45=123)</formula>
    </cfRule>
  </conditionalFormatting>
  <conditionalFormatting sqref="D27:E27">
    <cfRule type="expression" dxfId="2164" priority="2146">
      <formula>$B27&lt;&gt;""</formula>
    </cfRule>
  </conditionalFormatting>
  <conditionalFormatting sqref="D27">
    <cfRule type="expression" dxfId="2163" priority="2145">
      <formula>OR($Z27=1,$Z27=12,$Z27=123)</formula>
    </cfRule>
  </conditionalFormatting>
  <conditionalFormatting sqref="E27">
    <cfRule type="expression" dxfId="2162" priority="2144">
      <formula>OR($Z27=2,$Z27=12,$Z27=123)</formula>
    </cfRule>
  </conditionalFormatting>
  <conditionalFormatting sqref="D28:E28">
    <cfRule type="expression" dxfId="2161" priority="2143">
      <formula>$B28&lt;&gt;""</formula>
    </cfRule>
  </conditionalFormatting>
  <conditionalFormatting sqref="D28">
    <cfRule type="expression" dxfId="2160" priority="2142">
      <formula>OR($Z28=1,$Z28=12,$Z28=123)</formula>
    </cfRule>
  </conditionalFormatting>
  <conditionalFormatting sqref="E28">
    <cfRule type="expression" dxfId="2159" priority="2141">
      <formula>OR($Z28=2,$Z28=12,$Z28=123)</formula>
    </cfRule>
  </conditionalFormatting>
  <conditionalFormatting sqref="E30">
    <cfRule type="expression" dxfId="2158" priority="2140">
      <formula>$B30&lt;&gt;""</formula>
    </cfRule>
  </conditionalFormatting>
  <conditionalFormatting sqref="E30">
    <cfRule type="expression" dxfId="2157" priority="2139">
      <formula>OR($Z30=2,$Z30=12,$Z30=123)</formula>
    </cfRule>
  </conditionalFormatting>
  <conditionalFormatting sqref="D31:E31">
    <cfRule type="expression" dxfId="2156" priority="2138">
      <formula>$B31&lt;&gt;""</formula>
    </cfRule>
  </conditionalFormatting>
  <conditionalFormatting sqref="D31">
    <cfRule type="expression" dxfId="2155" priority="2137">
      <formula>OR($Z31=1,$Z31=12,$Z31=123)</formula>
    </cfRule>
  </conditionalFormatting>
  <conditionalFormatting sqref="E31">
    <cfRule type="expression" dxfId="2154" priority="2136">
      <formula>OR($Z31=2,$Z31=12,$Z31=123)</formula>
    </cfRule>
  </conditionalFormatting>
  <conditionalFormatting sqref="D33:E33">
    <cfRule type="expression" dxfId="2153" priority="2135">
      <formula>$B33&lt;&gt;""</formula>
    </cfRule>
  </conditionalFormatting>
  <conditionalFormatting sqref="D33">
    <cfRule type="expression" dxfId="2152" priority="2134">
      <formula>OR($Z33=1,$Z33=12,$Z33=123)</formula>
    </cfRule>
  </conditionalFormatting>
  <conditionalFormatting sqref="E33">
    <cfRule type="expression" dxfId="2151" priority="2133">
      <formula>OR($Z33=2,$Z33=12,$Z33=123)</formula>
    </cfRule>
  </conditionalFormatting>
  <conditionalFormatting sqref="D34:E34">
    <cfRule type="expression" dxfId="2150" priority="2132">
      <formula>$B34&lt;&gt;""</formula>
    </cfRule>
  </conditionalFormatting>
  <conditionalFormatting sqref="D34">
    <cfRule type="expression" dxfId="2149" priority="2131">
      <formula>OR($Z34=1,$Z34=12,$Z34=123)</formula>
    </cfRule>
  </conditionalFormatting>
  <conditionalFormatting sqref="E34">
    <cfRule type="expression" dxfId="2148" priority="2130">
      <formula>OR($Z34=2,$Z34=12,$Z34=123)</formula>
    </cfRule>
  </conditionalFormatting>
  <conditionalFormatting sqref="D36:E36">
    <cfRule type="expression" dxfId="2147" priority="2129">
      <formula>$B36&lt;&gt;""</formula>
    </cfRule>
  </conditionalFormatting>
  <conditionalFormatting sqref="D36">
    <cfRule type="expression" dxfId="2146" priority="2128">
      <formula>OR($Z36=1,$Z36=12,$Z36=123)</formula>
    </cfRule>
  </conditionalFormatting>
  <conditionalFormatting sqref="E36">
    <cfRule type="expression" dxfId="2145" priority="2127">
      <formula>OR($Z36=2,$Z36=12,$Z36=123)</formula>
    </cfRule>
  </conditionalFormatting>
  <conditionalFormatting sqref="D37:E37">
    <cfRule type="expression" dxfId="2144" priority="2126">
      <formula>$B37&lt;&gt;""</formula>
    </cfRule>
  </conditionalFormatting>
  <conditionalFormatting sqref="D37">
    <cfRule type="expression" dxfId="2143" priority="2125">
      <formula>OR($Z37=1,$Z37=12,$Z37=123)</formula>
    </cfRule>
  </conditionalFormatting>
  <conditionalFormatting sqref="E37">
    <cfRule type="expression" dxfId="2142" priority="2124">
      <formula>OR($Z37=2,$Z37=12,$Z37=123)</formula>
    </cfRule>
  </conditionalFormatting>
  <conditionalFormatting sqref="D38:E38">
    <cfRule type="expression" dxfId="2141" priority="2123">
      <formula>$B38&lt;&gt;""</formula>
    </cfRule>
  </conditionalFormatting>
  <conditionalFormatting sqref="D38">
    <cfRule type="expression" dxfId="2140" priority="2122">
      <formula>OR($Z38=1,$Z38=12,$Z38=123)</formula>
    </cfRule>
  </conditionalFormatting>
  <conditionalFormatting sqref="E38">
    <cfRule type="expression" dxfId="2139" priority="2121">
      <formula>OR($Z38=2,$Z38=12,$Z38=123)</formula>
    </cfRule>
  </conditionalFormatting>
  <conditionalFormatting sqref="D40:E40">
    <cfRule type="expression" dxfId="2138" priority="2120">
      <formula>$B40&lt;&gt;""</formula>
    </cfRule>
  </conditionalFormatting>
  <conditionalFormatting sqref="D40">
    <cfRule type="expression" dxfId="2137" priority="2119">
      <formula>OR($Z40=1,$Z40=12,$Z40=123)</formula>
    </cfRule>
  </conditionalFormatting>
  <conditionalFormatting sqref="E40">
    <cfRule type="expression" dxfId="2136" priority="2118">
      <formula>OR($Z40=2,$Z40=12,$Z40=123)</formula>
    </cfRule>
  </conditionalFormatting>
  <conditionalFormatting sqref="D41:E41">
    <cfRule type="expression" dxfId="2135" priority="2117">
      <formula>$B41&lt;&gt;""</formula>
    </cfRule>
  </conditionalFormatting>
  <conditionalFormatting sqref="D41">
    <cfRule type="expression" dxfId="2134" priority="2116">
      <formula>OR($Z41=1,$Z41=12,$Z41=123)</formula>
    </cfRule>
  </conditionalFormatting>
  <conditionalFormatting sqref="E41">
    <cfRule type="expression" dxfId="2133" priority="2115">
      <formula>OR($Z41=2,$Z41=12,$Z41=123)</formula>
    </cfRule>
  </conditionalFormatting>
  <conditionalFormatting sqref="D43:E43">
    <cfRule type="expression" dxfId="2132" priority="2114">
      <formula>$B43&lt;&gt;""</formula>
    </cfRule>
  </conditionalFormatting>
  <conditionalFormatting sqref="D43">
    <cfRule type="expression" dxfId="2131" priority="2113">
      <formula>OR($Z43=1,$Z43=12,$Z43=123)</formula>
    </cfRule>
  </conditionalFormatting>
  <conditionalFormatting sqref="E43">
    <cfRule type="expression" dxfId="2130" priority="2112">
      <formula>OR($Z43=2,$Z43=12,$Z43=123)</formula>
    </cfRule>
  </conditionalFormatting>
  <conditionalFormatting sqref="D30">
    <cfRule type="expression" dxfId="2129" priority="2111">
      <formula>$B30&lt;&gt;""</formula>
    </cfRule>
  </conditionalFormatting>
  <conditionalFormatting sqref="D30">
    <cfRule type="expression" dxfId="2128" priority="2110">
      <formula>OR($Z30=1,$Z30=12,$Z30=123)</formula>
    </cfRule>
  </conditionalFormatting>
  <conditionalFormatting sqref="A26:H26">
    <cfRule type="expression" dxfId="2127" priority="2109">
      <formula>$B26&lt;&gt;""</formula>
    </cfRule>
  </conditionalFormatting>
  <conditionalFormatting sqref="D26">
    <cfRule type="expression" dxfId="2126" priority="2108">
      <formula>OR($Z26=1,$Z26=12,$Z26=123)</formula>
    </cfRule>
  </conditionalFormatting>
  <conditionalFormatting sqref="E26">
    <cfRule type="expression" dxfId="2125" priority="2107">
      <formula>OR($Z26=2,$Z26=12,$Z26=123)</formula>
    </cfRule>
  </conditionalFormatting>
  <conditionalFormatting sqref="D27:E27">
    <cfRule type="expression" dxfId="2124" priority="2106">
      <formula>$B27&lt;&gt;""</formula>
    </cfRule>
  </conditionalFormatting>
  <conditionalFormatting sqref="D27">
    <cfRule type="expression" dxfId="2123" priority="2105">
      <formula>OR($Z27=1,$Z27=12,$Z27=123)</formula>
    </cfRule>
  </conditionalFormatting>
  <conditionalFormatting sqref="E27">
    <cfRule type="expression" dxfId="2122" priority="2104">
      <formula>OR($Z27=2,$Z27=12,$Z27=123)</formula>
    </cfRule>
  </conditionalFormatting>
  <conditionalFormatting sqref="D30:E30">
    <cfRule type="expression" dxfId="2121" priority="2103">
      <formula>$B30&lt;&gt;""</formula>
    </cfRule>
  </conditionalFormatting>
  <conditionalFormatting sqref="D30">
    <cfRule type="expression" dxfId="2120" priority="2102">
      <formula>OR($Z30=1,$Z30=12,$Z30=123)</formula>
    </cfRule>
  </conditionalFormatting>
  <conditionalFormatting sqref="E30">
    <cfRule type="expression" dxfId="2119" priority="2101">
      <formula>OR($Z30=2,$Z30=12,$Z30=123)</formula>
    </cfRule>
  </conditionalFormatting>
  <conditionalFormatting sqref="D28:E28">
    <cfRule type="expression" dxfId="2118" priority="2100">
      <formula>$B28&lt;&gt;""</formula>
    </cfRule>
  </conditionalFormatting>
  <conditionalFormatting sqref="D28">
    <cfRule type="expression" dxfId="2117" priority="2099">
      <formula>OR($Z28=1,$Z28=12,$Z28=123)</formula>
    </cfRule>
  </conditionalFormatting>
  <conditionalFormatting sqref="E28">
    <cfRule type="expression" dxfId="2116" priority="2098">
      <formula>OR($Z28=2,$Z28=12,$Z28=123)</formula>
    </cfRule>
  </conditionalFormatting>
  <conditionalFormatting sqref="D29:E29">
    <cfRule type="expression" dxfId="2115" priority="2097">
      <formula>$B29&lt;&gt;""</formula>
    </cfRule>
  </conditionalFormatting>
  <conditionalFormatting sqref="D29">
    <cfRule type="expression" dxfId="2114" priority="2096">
      <formula>OR($Z29=1,$Z29=12,$Z29=123)</formula>
    </cfRule>
  </conditionalFormatting>
  <conditionalFormatting sqref="E29">
    <cfRule type="expression" dxfId="2113" priority="2095">
      <formula>OR($Z29=2,$Z29=12,$Z29=123)</formula>
    </cfRule>
  </conditionalFormatting>
  <conditionalFormatting sqref="E31">
    <cfRule type="expression" dxfId="2112" priority="2094">
      <formula>$B31&lt;&gt;""</formula>
    </cfRule>
  </conditionalFormatting>
  <conditionalFormatting sqref="E31">
    <cfRule type="expression" dxfId="2111" priority="2093">
      <formula>OR($Z31=2,$Z31=12,$Z31=123)</formula>
    </cfRule>
  </conditionalFormatting>
  <conditionalFormatting sqref="D32:E32">
    <cfRule type="expression" dxfId="2110" priority="2092">
      <formula>$B32&lt;&gt;""</formula>
    </cfRule>
  </conditionalFormatting>
  <conditionalFormatting sqref="D32">
    <cfRule type="expression" dxfId="2109" priority="2091">
      <formula>OR($Z32=1,$Z32=12,$Z32=123)</formula>
    </cfRule>
  </conditionalFormatting>
  <conditionalFormatting sqref="E32">
    <cfRule type="expression" dxfId="2108" priority="2090">
      <formula>OR($Z32=2,$Z32=12,$Z32=123)</formula>
    </cfRule>
  </conditionalFormatting>
  <conditionalFormatting sqref="D31">
    <cfRule type="expression" dxfId="2107" priority="2089">
      <formula>$B31&lt;&gt;""</formula>
    </cfRule>
  </conditionalFormatting>
  <conditionalFormatting sqref="D31">
    <cfRule type="expression" dxfId="2106" priority="2088">
      <formula>OR($Z31=1,$Z31=12,$Z31=123)</formula>
    </cfRule>
  </conditionalFormatting>
  <conditionalFormatting sqref="A26:H26">
    <cfRule type="expression" dxfId="2105" priority="2087">
      <formula>$B26&lt;&gt;""</formula>
    </cfRule>
  </conditionalFormatting>
  <conditionalFormatting sqref="D26">
    <cfRule type="expression" dxfId="2104" priority="2086">
      <formula>OR($Z26=1,$Z26=12,$Z26=123)</formula>
    </cfRule>
  </conditionalFormatting>
  <conditionalFormatting sqref="E26">
    <cfRule type="expression" dxfId="2103" priority="2085">
      <formula>OR($Z26=2,$Z26=12,$Z26=123)</formula>
    </cfRule>
  </conditionalFormatting>
  <conditionalFormatting sqref="D27:E27">
    <cfRule type="expression" dxfId="2102" priority="2084">
      <formula>$B27&lt;&gt;""</formula>
    </cfRule>
  </conditionalFormatting>
  <conditionalFormatting sqref="D27">
    <cfRule type="expression" dxfId="2101" priority="2083">
      <formula>OR($Z27=1,$Z27=12,$Z27=123)</formula>
    </cfRule>
  </conditionalFormatting>
  <conditionalFormatting sqref="E27">
    <cfRule type="expression" dxfId="2100" priority="2082">
      <formula>OR($Z27=2,$Z27=12,$Z27=123)</formula>
    </cfRule>
  </conditionalFormatting>
  <conditionalFormatting sqref="D30:E30">
    <cfRule type="expression" dxfId="2099" priority="2081">
      <formula>$B30&lt;&gt;""</formula>
    </cfRule>
  </conditionalFormatting>
  <conditionalFormatting sqref="D30">
    <cfRule type="expression" dxfId="2098" priority="2080">
      <formula>OR($Z30=1,$Z30=12,$Z30=123)</formula>
    </cfRule>
  </conditionalFormatting>
  <conditionalFormatting sqref="E30">
    <cfRule type="expression" dxfId="2097" priority="2079">
      <formula>OR($Z30=2,$Z30=12,$Z30=123)</formula>
    </cfRule>
  </conditionalFormatting>
  <conditionalFormatting sqref="D28:E28">
    <cfRule type="expression" dxfId="2096" priority="2078">
      <formula>$B28&lt;&gt;""</formula>
    </cfRule>
  </conditionalFormatting>
  <conditionalFormatting sqref="D28">
    <cfRule type="expression" dxfId="2095" priority="2077">
      <formula>OR($Z28=1,$Z28=12,$Z28=123)</formula>
    </cfRule>
  </conditionalFormatting>
  <conditionalFormatting sqref="E28">
    <cfRule type="expression" dxfId="2094" priority="2076">
      <formula>OR($Z28=2,$Z28=12,$Z28=123)</formula>
    </cfRule>
  </conditionalFormatting>
  <conditionalFormatting sqref="D29:E29">
    <cfRule type="expression" dxfId="2093" priority="2075">
      <formula>$B29&lt;&gt;""</formula>
    </cfRule>
  </conditionalFormatting>
  <conditionalFormatting sqref="D29">
    <cfRule type="expression" dxfId="2092" priority="2074">
      <formula>OR($Z29=1,$Z29=12,$Z29=123)</formula>
    </cfRule>
  </conditionalFormatting>
  <conditionalFormatting sqref="E29">
    <cfRule type="expression" dxfId="2091" priority="2073">
      <formula>OR($Z29=2,$Z29=12,$Z29=123)</formula>
    </cfRule>
  </conditionalFormatting>
  <conditionalFormatting sqref="E31">
    <cfRule type="expression" dxfId="2090" priority="2072">
      <formula>$B31&lt;&gt;""</formula>
    </cfRule>
  </conditionalFormatting>
  <conditionalFormatting sqref="E31">
    <cfRule type="expression" dxfId="2089" priority="2071">
      <formula>OR($Z31=2,$Z31=12,$Z31=123)</formula>
    </cfRule>
  </conditionalFormatting>
  <conditionalFormatting sqref="D32:E32">
    <cfRule type="expression" dxfId="2088" priority="2070">
      <formula>$B32&lt;&gt;""</formula>
    </cfRule>
  </conditionalFormatting>
  <conditionalFormatting sqref="D32">
    <cfRule type="expression" dxfId="2087" priority="2069">
      <formula>OR($Z32=1,$Z32=12,$Z32=123)</formula>
    </cfRule>
  </conditionalFormatting>
  <conditionalFormatting sqref="E32">
    <cfRule type="expression" dxfId="2086" priority="2068">
      <formula>OR($Z32=2,$Z32=12,$Z32=123)</formula>
    </cfRule>
  </conditionalFormatting>
  <conditionalFormatting sqref="D34:E34">
    <cfRule type="expression" dxfId="2085" priority="2067">
      <formula>$B34&lt;&gt;""</formula>
    </cfRule>
  </conditionalFormatting>
  <conditionalFormatting sqref="D34">
    <cfRule type="expression" dxfId="2084" priority="2066">
      <formula>OR($Z34=1,$Z34=12,$Z34=123)</formula>
    </cfRule>
  </conditionalFormatting>
  <conditionalFormatting sqref="E34">
    <cfRule type="expression" dxfId="2083" priority="2065">
      <formula>OR($Z34=2,$Z34=12,$Z34=123)</formula>
    </cfRule>
  </conditionalFormatting>
  <conditionalFormatting sqref="D35:E35">
    <cfRule type="expression" dxfId="2082" priority="2064">
      <formula>$B35&lt;&gt;""</formula>
    </cfRule>
  </conditionalFormatting>
  <conditionalFormatting sqref="D35">
    <cfRule type="expression" dxfId="2081" priority="2063">
      <formula>OR($Z35=1,$Z35=12,$Z35=123)</formula>
    </cfRule>
  </conditionalFormatting>
  <conditionalFormatting sqref="E35">
    <cfRule type="expression" dxfId="2080" priority="2062">
      <formula>OR($Z35=2,$Z35=12,$Z35=123)</formula>
    </cfRule>
  </conditionalFormatting>
  <conditionalFormatting sqref="D37:E37">
    <cfRule type="expression" dxfId="2079" priority="2061">
      <formula>$B37&lt;&gt;""</formula>
    </cfRule>
  </conditionalFormatting>
  <conditionalFormatting sqref="D37">
    <cfRule type="expression" dxfId="2078" priority="2060">
      <formula>OR($Z37=1,$Z37=12,$Z37=123)</formula>
    </cfRule>
  </conditionalFormatting>
  <conditionalFormatting sqref="E37">
    <cfRule type="expression" dxfId="2077" priority="2059">
      <formula>OR($Z37=2,$Z37=12,$Z37=123)</formula>
    </cfRule>
  </conditionalFormatting>
  <conditionalFormatting sqref="D38:E38">
    <cfRule type="expression" dxfId="2076" priority="2058">
      <formula>$B38&lt;&gt;""</formula>
    </cfRule>
  </conditionalFormatting>
  <conditionalFormatting sqref="D38">
    <cfRule type="expression" dxfId="2075" priority="2057">
      <formula>OR($Z38=1,$Z38=12,$Z38=123)</formula>
    </cfRule>
  </conditionalFormatting>
  <conditionalFormatting sqref="E38">
    <cfRule type="expression" dxfId="2074" priority="2056">
      <formula>OR($Z38=2,$Z38=12,$Z38=123)</formula>
    </cfRule>
  </conditionalFormatting>
  <conditionalFormatting sqref="D39:E39">
    <cfRule type="expression" dxfId="2073" priority="2055">
      <formula>$B39&lt;&gt;""</formula>
    </cfRule>
  </conditionalFormatting>
  <conditionalFormatting sqref="D39">
    <cfRule type="expression" dxfId="2072" priority="2054">
      <formula>OR($Z39=1,$Z39=12,$Z39=123)</formula>
    </cfRule>
  </conditionalFormatting>
  <conditionalFormatting sqref="E39">
    <cfRule type="expression" dxfId="2071" priority="2053">
      <formula>OR($Z39=2,$Z39=12,$Z39=123)</formula>
    </cfRule>
  </conditionalFormatting>
  <conditionalFormatting sqref="D41:E41">
    <cfRule type="expression" dxfId="2070" priority="2052">
      <formula>$B41&lt;&gt;""</formula>
    </cfRule>
  </conditionalFormatting>
  <conditionalFormatting sqref="D41">
    <cfRule type="expression" dxfId="2069" priority="2051">
      <formula>OR($Z41=1,$Z41=12,$Z41=123)</formula>
    </cfRule>
  </conditionalFormatting>
  <conditionalFormatting sqref="E41">
    <cfRule type="expression" dxfId="2068" priority="2050">
      <formula>OR($Z41=2,$Z41=12,$Z41=123)</formula>
    </cfRule>
  </conditionalFormatting>
  <conditionalFormatting sqref="D42:E42">
    <cfRule type="expression" dxfId="2067" priority="2049">
      <formula>$B42&lt;&gt;""</formula>
    </cfRule>
  </conditionalFormatting>
  <conditionalFormatting sqref="D42">
    <cfRule type="expression" dxfId="2066" priority="2048">
      <formula>OR($Z42=1,$Z42=12,$Z42=123)</formula>
    </cfRule>
  </conditionalFormatting>
  <conditionalFormatting sqref="E42">
    <cfRule type="expression" dxfId="2065" priority="2047">
      <formula>OR($Z42=2,$Z42=12,$Z42=123)</formula>
    </cfRule>
  </conditionalFormatting>
  <conditionalFormatting sqref="D31">
    <cfRule type="expression" dxfId="2064" priority="2046">
      <formula>$B31&lt;&gt;""</formula>
    </cfRule>
  </conditionalFormatting>
  <conditionalFormatting sqref="D31">
    <cfRule type="expression" dxfId="2063" priority="2045">
      <formula>OR($Z31=1,$Z31=12,$Z31=123)</formula>
    </cfRule>
  </conditionalFormatting>
  <conditionalFormatting sqref="A27:H27">
    <cfRule type="expression" dxfId="2062" priority="2044">
      <formula>$B27&lt;&gt;""</formula>
    </cfRule>
  </conditionalFormatting>
  <conditionalFormatting sqref="D27">
    <cfRule type="expression" dxfId="2061" priority="2043">
      <formula>OR($Z27=1,$Z27=12,$Z27=123)</formula>
    </cfRule>
  </conditionalFormatting>
  <conditionalFormatting sqref="E27">
    <cfRule type="expression" dxfId="2060" priority="2042">
      <formula>OR($Z27=2,$Z27=12,$Z27=123)</formula>
    </cfRule>
  </conditionalFormatting>
  <conditionalFormatting sqref="D28:E28">
    <cfRule type="expression" dxfId="2059" priority="2041">
      <formula>$B28&lt;&gt;""</formula>
    </cfRule>
  </conditionalFormatting>
  <conditionalFormatting sqref="D28">
    <cfRule type="expression" dxfId="2058" priority="2040">
      <formula>OR($Z28=1,$Z28=12,$Z28=123)</formula>
    </cfRule>
  </conditionalFormatting>
  <conditionalFormatting sqref="E28">
    <cfRule type="expression" dxfId="2057" priority="2039">
      <formula>OR($Z28=2,$Z28=12,$Z28=123)</formula>
    </cfRule>
  </conditionalFormatting>
  <conditionalFormatting sqref="D31:E31">
    <cfRule type="expression" dxfId="2056" priority="2038">
      <formula>$B31&lt;&gt;""</formula>
    </cfRule>
  </conditionalFormatting>
  <conditionalFormatting sqref="D31">
    <cfRule type="expression" dxfId="2055" priority="2037">
      <formula>OR($Z31=1,$Z31=12,$Z31=123)</formula>
    </cfRule>
  </conditionalFormatting>
  <conditionalFormatting sqref="E31">
    <cfRule type="expression" dxfId="2054" priority="2036">
      <formula>OR($Z31=2,$Z31=12,$Z31=123)</formula>
    </cfRule>
  </conditionalFormatting>
  <conditionalFormatting sqref="D29:E29">
    <cfRule type="expression" dxfId="2053" priority="2035">
      <formula>$B29&lt;&gt;""</formula>
    </cfRule>
  </conditionalFormatting>
  <conditionalFormatting sqref="D29">
    <cfRule type="expression" dxfId="2052" priority="2034">
      <formula>OR($Z29=1,$Z29=12,$Z29=123)</formula>
    </cfRule>
  </conditionalFormatting>
  <conditionalFormatting sqref="E29">
    <cfRule type="expression" dxfId="2051" priority="2033">
      <formula>OR($Z29=2,$Z29=12,$Z29=123)</formula>
    </cfRule>
  </conditionalFormatting>
  <conditionalFormatting sqref="D30:E30">
    <cfRule type="expression" dxfId="2050" priority="2032">
      <formula>$B30&lt;&gt;""</formula>
    </cfRule>
  </conditionalFormatting>
  <conditionalFormatting sqref="D30">
    <cfRule type="expression" dxfId="2049" priority="2031">
      <formula>OR($Z30=1,$Z30=12,$Z30=123)</formula>
    </cfRule>
  </conditionalFormatting>
  <conditionalFormatting sqref="E30">
    <cfRule type="expression" dxfId="2048" priority="2030">
      <formula>OR($Z30=2,$Z30=12,$Z30=123)</formula>
    </cfRule>
  </conditionalFormatting>
  <conditionalFormatting sqref="E32">
    <cfRule type="expression" dxfId="2047" priority="2029">
      <formula>$B32&lt;&gt;""</formula>
    </cfRule>
  </conditionalFormatting>
  <conditionalFormatting sqref="E32">
    <cfRule type="expression" dxfId="2046" priority="2028">
      <formula>OR($Z32=2,$Z32=12,$Z32=123)</formula>
    </cfRule>
  </conditionalFormatting>
  <conditionalFormatting sqref="D33:E33">
    <cfRule type="expression" dxfId="2045" priority="2027">
      <formula>$B33&lt;&gt;""</formula>
    </cfRule>
  </conditionalFormatting>
  <conditionalFormatting sqref="D33">
    <cfRule type="expression" dxfId="2044" priority="2026">
      <formula>OR($Z33=1,$Z33=12,$Z33=123)</formula>
    </cfRule>
  </conditionalFormatting>
  <conditionalFormatting sqref="E33">
    <cfRule type="expression" dxfId="2043" priority="2025">
      <formula>OR($Z33=2,$Z33=12,$Z33=123)</formula>
    </cfRule>
  </conditionalFormatting>
  <conditionalFormatting sqref="D32">
    <cfRule type="expression" dxfId="2042" priority="2024">
      <formula>$B32&lt;&gt;""</formula>
    </cfRule>
  </conditionalFormatting>
  <conditionalFormatting sqref="D32">
    <cfRule type="expression" dxfId="2041" priority="2023">
      <formula>OR($Z32=1,$Z32=12,$Z32=123)</formula>
    </cfRule>
  </conditionalFormatting>
  <conditionalFormatting sqref="A26:H26">
    <cfRule type="expression" dxfId="2040" priority="2022">
      <formula>$B26&lt;&gt;""</formula>
    </cfRule>
  </conditionalFormatting>
  <conditionalFormatting sqref="D26">
    <cfRule type="expression" dxfId="2039" priority="2021">
      <formula>OR($Z26=1,$Z26=12,$Z26=123)</formula>
    </cfRule>
  </conditionalFormatting>
  <conditionalFormatting sqref="E26">
    <cfRule type="expression" dxfId="2038" priority="2020">
      <formula>OR($Z26=2,$Z26=12,$Z26=123)</formula>
    </cfRule>
  </conditionalFormatting>
  <conditionalFormatting sqref="D27:E27">
    <cfRule type="expression" dxfId="2037" priority="2019">
      <formula>$B27&lt;&gt;""</formula>
    </cfRule>
  </conditionalFormatting>
  <conditionalFormatting sqref="D27">
    <cfRule type="expression" dxfId="2036" priority="2018">
      <formula>OR($Z27=1,$Z27=12,$Z27=123)</formula>
    </cfRule>
  </conditionalFormatting>
  <conditionalFormatting sqref="E27">
    <cfRule type="expression" dxfId="2035" priority="2017">
      <formula>OR($Z27=2,$Z27=12,$Z27=123)</formula>
    </cfRule>
  </conditionalFormatting>
  <conditionalFormatting sqref="D30:E30">
    <cfRule type="expression" dxfId="2034" priority="2016">
      <formula>$B30&lt;&gt;""</formula>
    </cfRule>
  </conditionalFormatting>
  <conditionalFormatting sqref="D30">
    <cfRule type="expression" dxfId="2033" priority="2015">
      <formula>OR($Z30=1,$Z30=12,$Z30=123)</formula>
    </cfRule>
  </conditionalFormatting>
  <conditionalFormatting sqref="E30">
    <cfRule type="expression" dxfId="2032" priority="2014">
      <formula>OR($Z30=2,$Z30=12,$Z30=123)</formula>
    </cfRule>
  </conditionalFormatting>
  <conditionalFormatting sqref="D28:E28">
    <cfRule type="expression" dxfId="2031" priority="2013">
      <formula>$B28&lt;&gt;""</formula>
    </cfRule>
  </conditionalFormatting>
  <conditionalFormatting sqref="D28">
    <cfRule type="expression" dxfId="2030" priority="2012">
      <formula>OR($Z28=1,$Z28=12,$Z28=123)</formula>
    </cfRule>
  </conditionalFormatting>
  <conditionalFormatting sqref="E28">
    <cfRule type="expression" dxfId="2029" priority="2011">
      <formula>OR($Z28=2,$Z28=12,$Z28=123)</formula>
    </cfRule>
  </conditionalFormatting>
  <conditionalFormatting sqref="D29:E29">
    <cfRule type="expression" dxfId="2028" priority="2010">
      <formula>$B29&lt;&gt;""</formula>
    </cfRule>
  </conditionalFormatting>
  <conditionalFormatting sqref="D29">
    <cfRule type="expression" dxfId="2027" priority="2009">
      <formula>OR($Z29=1,$Z29=12,$Z29=123)</formula>
    </cfRule>
  </conditionalFormatting>
  <conditionalFormatting sqref="E29">
    <cfRule type="expression" dxfId="2026" priority="2008">
      <formula>OR($Z29=2,$Z29=12,$Z29=123)</formula>
    </cfRule>
  </conditionalFormatting>
  <conditionalFormatting sqref="E31">
    <cfRule type="expression" dxfId="2025" priority="2007">
      <formula>$B31&lt;&gt;""</formula>
    </cfRule>
  </conditionalFormatting>
  <conditionalFormatting sqref="E31">
    <cfRule type="expression" dxfId="2024" priority="2006">
      <formula>OR($Z31=2,$Z31=12,$Z31=123)</formula>
    </cfRule>
  </conditionalFormatting>
  <conditionalFormatting sqref="D32:E32">
    <cfRule type="expression" dxfId="2023" priority="2005">
      <formula>$B32&lt;&gt;""</formula>
    </cfRule>
  </conditionalFormatting>
  <conditionalFormatting sqref="D32">
    <cfRule type="expression" dxfId="2022" priority="2004">
      <formula>OR($Z32=1,$Z32=12,$Z32=123)</formula>
    </cfRule>
  </conditionalFormatting>
  <conditionalFormatting sqref="E32">
    <cfRule type="expression" dxfId="2021" priority="2003">
      <formula>OR($Z32=2,$Z32=12,$Z32=123)</formula>
    </cfRule>
  </conditionalFormatting>
  <conditionalFormatting sqref="D34:E34">
    <cfRule type="expression" dxfId="2020" priority="2002">
      <formula>$B34&lt;&gt;""</formula>
    </cfRule>
  </conditionalFormatting>
  <conditionalFormatting sqref="D34">
    <cfRule type="expression" dxfId="2019" priority="2001">
      <formula>OR($Z34=1,$Z34=12,$Z34=123)</formula>
    </cfRule>
  </conditionalFormatting>
  <conditionalFormatting sqref="E34">
    <cfRule type="expression" dxfId="2018" priority="2000">
      <formula>OR($Z34=2,$Z34=12,$Z34=123)</formula>
    </cfRule>
  </conditionalFormatting>
  <conditionalFormatting sqref="D35:E35">
    <cfRule type="expression" dxfId="2017" priority="1999">
      <formula>$B35&lt;&gt;""</formula>
    </cfRule>
  </conditionalFormatting>
  <conditionalFormatting sqref="D35">
    <cfRule type="expression" dxfId="2016" priority="1998">
      <formula>OR($Z35=1,$Z35=12,$Z35=123)</formula>
    </cfRule>
  </conditionalFormatting>
  <conditionalFormatting sqref="E35">
    <cfRule type="expression" dxfId="2015" priority="1997">
      <formula>OR($Z35=2,$Z35=12,$Z35=123)</formula>
    </cfRule>
  </conditionalFormatting>
  <conditionalFormatting sqref="D37:E37">
    <cfRule type="expression" dxfId="2014" priority="1996">
      <formula>$B37&lt;&gt;""</formula>
    </cfRule>
  </conditionalFormatting>
  <conditionalFormatting sqref="D37">
    <cfRule type="expression" dxfId="2013" priority="1995">
      <formula>OR($Z37=1,$Z37=12,$Z37=123)</formula>
    </cfRule>
  </conditionalFormatting>
  <conditionalFormatting sqref="E37">
    <cfRule type="expression" dxfId="2012" priority="1994">
      <formula>OR($Z37=2,$Z37=12,$Z37=123)</formula>
    </cfRule>
  </conditionalFormatting>
  <conditionalFormatting sqref="D38:E38">
    <cfRule type="expression" dxfId="2011" priority="1993">
      <formula>$B38&lt;&gt;""</formula>
    </cfRule>
  </conditionalFormatting>
  <conditionalFormatting sqref="D38">
    <cfRule type="expression" dxfId="2010" priority="1992">
      <formula>OR($Z38=1,$Z38=12,$Z38=123)</formula>
    </cfRule>
  </conditionalFormatting>
  <conditionalFormatting sqref="E38">
    <cfRule type="expression" dxfId="2009" priority="1991">
      <formula>OR($Z38=2,$Z38=12,$Z38=123)</formula>
    </cfRule>
  </conditionalFormatting>
  <conditionalFormatting sqref="D39:E39">
    <cfRule type="expression" dxfId="2008" priority="1990">
      <formula>$B39&lt;&gt;""</formula>
    </cfRule>
  </conditionalFormatting>
  <conditionalFormatting sqref="D39">
    <cfRule type="expression" dxfId="2007" priority="1989">
      <formula>OR($Z39=1,$Z39=12,$Z39=123)</formula>
    </cfRule>
  </conditionalFormatting>
  <conditionalFormatting sqref="E39">
    <cfRule type="expression" dxfId="2006" priority="1988">
      <formula>OR($Z39=2,$Z39=12,$Z39=123)</formula>
    </cfRule>
  </conditionalFormatting>
  <conditionalFormatting sqref="D41:E41">
    <cfRule type="expression" dxfId="2005" priority="1987">
      <formula>$B41&lt;&gt;""</formula>
    </cfRule>
  </conditionalFormatting>
  <conditionalFormatting sqref="D41">
    <cfRule type="expression" dxfId="2004" priority="1986">
      <formula>OR($Z41=1,$Z41=12,$Z41=123)</formula>
    </cfRule>
  </conditionalFormatting>
  <conditionalFormatting sqref="E41">
    <cfRule type="expression" dxfId="2003" priority="1985">
      <formula>OR($Z41=2,$Z41=12,$Z41=123)</formula>
    </cfRule>
  </conditionalFormatting>
  <conditionalFormatting sqref="D42:E42">
    <cfRule type="expression" dxfId="2002" priority="1984">
      <formula>$B42&lt;&gt;""</formula>
    </cfRule>
  </conditionalFormatting>
  <conditionalFormatting sqref="D42">
    <cfRule type="expression" dxfId="2001" priority="1983">
      <formula>OR($Z42=1,$Z42=12,$Z42=123)</formula>
    </cfRule>
  </conditionalFormatting>
  <conditionalFormatting sqref="E42">
    <cfRule type="expression" dxfId="2000" priority="1982">
      <formula>OR($Z42=2,$Z42=12,$Z42=123)</formula>
    </cfRule>
  </conditionalFormatting>
  <conditionalFormatting sqref="D31">
    <cfRule type="expression" dxfId="1999" priority="1981">
      <formula>$B31&lt;&gt;""</formula>
    </cfRule>
  </conditionalFormatting>
  <conditionalFormatting sqref="D31">
    <cfRule type="expression" dxfId="1998" priority="1980">
      <formula>OR($Z31=1,$Z31=12,$Z31=123)</formula>
    </cfRule>
  </conditionalFormatting>
  <conditionalFormatting sqref="A27:H27">
    <cfRule type="expression" dxfId="1997" priority="1979">
      <formula>$B27&lt;&gt;""</formula>
    </cfRule>
  </conditionalFormatting>
  <conditionalFormatting sqref="D27">
    <cfRule type="expression" dxfId="1996" priority="1978">
      <formula>OR($Z27=1,$Z27=12,$Z27=123)</formula>
    </cfRule>
  </conditionalFormatting>
  <conditionalFormatting sqref="E27">
    <cfRule type="expression" dxfId="1995" priority="1977">
      <formula>OR($Z27=2,$Z27=12,$Z27=123)</formula>
    </cfRule>
  </conditionalFormatting>
  <conditionalFormatting sqref="D28:E28">
    <cfRule type="expression" dxfId="1994" priority="1976">
      <formula>$B28&lt;&gt;""</formula>
    </cfRule>
  </conditionalFormatting>
  <conditionalFormatting sqref="D28">
    <cfRule type="expression" dxfId="1993" priority="1975">
      <formula>OR($Z28=1,$Z28=12,$Z28=123)</formula>
    </cfRule>
  </conditionalFormatting>
  <conditionalFormatting sqref="E28">
    <cfRule type="expression" dxfId="1992" priority="1974">
      <formula>OR($Z28=2,$Z28=12,$Z28=123)</formula>
    </cfRule>
  </conditionalFormatting>
  <conditionalFormatting sqref="D31:E31">
    <cfRule type="expression" dxfId="1991" priority="1973">
      <formula>$B31&lt;&gt;""</formula>
    </cfRule>
  </conditionalFormatting>
  <conditionalFormatting sqref="D31">
    <cfRule type="expression" dxfId="1990" priority="1972">
      <formula>OR($Z31=1,$Z31=12,$Z31=123)</formula>
    </cfRule>
  </conditionalFormatting>
  <conditionalFormatting sqref="E31">
    <cfRule type="expression" dxfId="1989" priority="1971">
      <formula>OR($Z31=2,$Z31=12,$Z31=123)</formula>
    </cfRule>
  </conditionalFormatting>
  <conditionalFormatting sqref="D29:E29">
    <cfRule type="expression" dxfId="1988" priority="1970">
      <formula>$B29&lt;&gt;""</formula>
    </cfRule>
  </conditionalFormatting>
  <conditionalFormatting sqref="D29">
    <cfRule type="expression" dxfId="1987" priority="1969">
      <formula>OR($Z29=1,$Z29=12,$Z29=123)</formula>
    </cfRule>
  </conditionalFormatting>
  <conditionalFormatting sqref="E29">
    <cfRule type="expression" dxfId="1986" priority="1968">
      <formula>OR($Z29=2,$Z29=12,$Z29=123)</formula>
    </cfRule>
  </conditionalFormatting>
  <conditionalFormatting sqref="D30:E30">
    <cfRule type="expression" dxfId="1985" priority="1967">
      <formula>$B30&lt;&gt;""</formula>
    </cfRule>
  </conditionalFormatting>
  <conditionalFormatting sqref="D30">
    <cfRule type="expression" dxfId="1984" priority="1966">
      <formula>OR($Z30=1,$Z30=12,$Z30=123)</formula>
    </cfRule>
  </conditionalFormatting>
  <conditionalFormatting sqref="E30">
    <cfRule type="expression" dxfId="1983" priority="1965">
      <formula>OR($Z30=2,$Z30=12,$Z30=123)</formula>
    </cfRule>
  </conditionalFormatting>
  <conditionalFormatting sqref="E32">
    <cfRule type="expression" dxfId="1982" priority="1964">
      <formula>$B32&lt;&gt;""</formula>
    </cfRule>
  </conditionalFormatting>
  <conditionalFormatting sqref="E32">
    <cfRule type="expression" dxfId="1981" priority="1963">
      <formula>OR($Z32=2,$Z32=12,$Z32=123)</formula>
    </cfRule>
  </conditionalFormatting>
  <conditionalFormatting sqref="D33:E33">
    <cfRule type="expression" dxfId="1980" priority="1962">
      <formula>$B33&lt;&gt;""</formula>
    </cfRule>
  </conditionalFormatting>
  <conditionalFormatting sqref="D33">
    <cfRule type="expression" dxfId="1979" priority="1961">
      <formula>OR($Z33=1,$Z33=12,$Z33=123)</formula>
    </cfRule>
  </conditionalFormatting>
  <conditionalFormatting sqref="E33">
    <cfRule type="expression" dxfId="1978" priority="1960">
      <formula>OR($Z33=2,$Z33=12,$Z33=123)</formula>
    </cfRule>
  </conditionalFormatting>
  <conditionalFormatting sqref="D32">
    <cfRule type="expression" dxfId="1977" priority="1959">
      <formula>$B32&lt;&gt;""</formula>
    </cfRule>
  </conditionalFormatting>
  <conditionalFormatting sqref="D32">
    <cfRule type="expression" dxfId="1976" priority="1958">
      <formula>OR($Z32=1,$Z32=12,$Z32=123)</formula>
    </cfRule>
  </conditionalFormatting>
  <conditionalFormatting sqref="A27:H27">
    <cfRule type="expression" dxfId="1975" priority="1957">
      <formula>$B27&lt;&gt;""</formula>
    </cfRule>
  </conditionalFormatting>
  <conditionalFormatting sqref="D27">
    <cfRule type="expression" dxfId="1974" priority="1956">
      <formula>OR($Z27=1,$Z27=12,$Z27=123)</formula>
    </cfRule>
  </conditionalFormatting>
  <conditionalFormatting sqref="E27">
    <cfRule type="expression" dxfId="1973" priority="1955">
      <formula>OR($Z27=2,$Z27=12,$Z27=123)</formula>
    </cfRule>
  </conditionalFormatting>
  <conditionalFormatting sqref="D28:E28">
    <cfRule type="expression" dxfId="1972" priority="1954">
      <formula>$B28&lt;&gt;""</formula>
    </cfRule>
  </conditionalFormatting>
  <conditionalFormatting sqref="D28">
    <cfRule type="expression" dxfId="1971" priority="1953">
      <formula>OR($Z28=1,$Z28=12,$Z28=123)</formula>
    </cfRule>
  </conditionalFormatting>
  <conditionalFormatting sqref="E28">
    <cfRule type="expression" dxfId="1970" priority="1952">
      <formula>OR($Z28=2,$Z28=12,$Z28=123)</formula>
    </cfRule>
  </conditionalFormatting>
  <conditionalFormatting sqref="D31:E31">
    <cfRule type="expression" dxfId="1969" priority="1951">
      <formula>$B31&lt;&gt;""</formula>
    </cfRule>
  </conditionalFormatting>
  <conditionalFormatting sqref="D31">
    <cfRule type="expression" dxfId="1968" priority="1950">
      <formula>OR($Z31=1,$Z31=12,$Z31=123)</formula>
    </cfRule>
  </conditionalFormatting>
  <conditionalFormatting sqref="E31">
    <cfRule type="expression" dxfId="1967" priority="1949">
      <formula>OR($Z31=2,$Z31=12,$Z31=123)</formula>
    </cfRule>
  </conditionalFormatting>
  <conditionalFormatting sqref="D29:E29">
    <cfRule type="expression" dxfId="1966" priority="1948">
      <formula>$B29&lt;&gt;""</formula>
    </cfRule>
  </conditionalFormatting>
  <conditionalFormatting sqref="D29">
    <cfRule type="expression" dxfId="1965" priority="1947">
      <formula>OR($Z29=1,$Z29=12,$Z29=123)</formula>
    </cfRule>
  </conditionalFormatting>
  <conditionalFormatting sqref="E29">
    <cfRule type="expression" dxfId="1964" priority="1946">
      <formula>OR($Z29=2,$Z29=12,$Z29=123)</formula>
    </cfRule>
  </conditionalFormatting>
  <conditionalFormatting sqref="D30:E30">
    <cfRule type="expression" dxfId="1963" priority="1945">
      <formula>$B30&lt;&gt;""</formula>
    </cfRule>
  </conditionalFormatting>
  <conditionalFormatting sqref="D30">
    <cfRule type="expression" dxfId="1962" priority="1944">
      <formula>OR($Z30=1,$Z30=12,$Z30=123)</formula>
    </cfRule>
  </conditionalFormatting>
  <conditionalFormatting sqref="E30">
    <cfRule type="expression" dxfId="1961" priority="1943">
      <formula>OR($Z30=2,$Z30=12,$Z30=123)</formula>
    </cfRule>
  </conditionalFormatting>
  <conditionalFormatting sqref="E32">
    <cfRule type="expression" dxfId="1960" priority="1942">
      <formula>$B32&lt;&gt;""</formula>
    </cfRule>
  </conditionalFormatting>
  <conditionalFormatting sqref="E32">
    <cfRule type="expression" dxfId="1959" priority="1941">
      <formula>OR($Z32=2,$Z32=12,$Z32=123)</formula>
    </cfRule>
  </conditionalFormatting>
  <conditionalFormatting sqref="D33:E33">
    <cfRule type="expression" dxfId="1958" priority="1940">
      <formula>$B33&lt;&gt;""</formula>
    </cfRule>
  </conditionalFormatting>
  <conditionalFormatting sqref="D33">
    <cfRule type="expression" dxfId="1957" priority="1939">
      <formula>OR($Z33=1,$Z33=12,$Z33=123)</formula>
    </cfRule>
  </conditionalFormatting>
  <conditionalFormatting sqref="E33">
    <cfRule type="expression" dxfId="1956" priority="1938">
      <formula>OR($Z33=2,$Z33=12,$Z33=123)</formula>
    </cfRule>
  </conditionalFormatting>
  <conditionalFormatting sqref="D35:E35">
    <cfRule type="expression" dxfId="1955" priority="1937">
      <formula>$B35&lt;&gt;""</formula>
    </cfRule>
  </conditionalFormatting>
  <conditionalFormatting sqref="D35">
    <cfRule type="expression" dxfId="1954" priority="1936">
      <formula>OR($Z35=1,$Z35=12,$Z35=123)</formula>
    </cfRule>
  </conditionalFormatting>
  <conditionalFormatting sqref="E35">
    <cfRule type="expression" dxfId="1953" priority="1935">
      <formula>OR($Z35=2,$Z35=12,$Z35=123)</formula>
    </cfRule>
  </conditionalFormatting>
  <conditionalFormatting sqref="D36:E36">
    <cfRule type="expression" dxfId="1952" priority="1934">
      <formula>$B36&lt;&gt;""</formula>
    </cfRule>
  </conditionalFormatting>
  <conditionalFormatting sqref="D36">
    <cfRule type="expression" dxfId="1951" priority="1933">
      <formula>OR($Z36=1,$Z36=12,$Z36=123)</formula>
    </cfRule>
  </conditionalFormatting>
  <conditionalFormatting sqref="E36">
    <cfRule type="expression" dxfId="1950" priority="1932">
      <formula>OR($Z36=2,$Z36=12,$Z36=123)</formula>
    </cfRule>
  </conditionalFormatting>
  <conditionalFormatting sqref="D38:E38">
    <cfRule type="expression" dxfId="1949" priority="1931">
      <formula>$B38&lt;&gt;""</formula>
    </cfRule>
  </conditionalFormatting>
  <conditionalFormatting sqref="D38">
    <cfRule type="expression" dxfId="1948" priority="1930">
      <formula>OR($Z38=1,$Z38=12,$Z38=123)</formula>
    </cfRule>
  </conditionalFormatting>
  <conditionalFormatting sqref="E38">
    <cfRule type="expression" dxfId="1947" priority="1929">
      <formula>OR($Z38=2,$Z38=12,$Z38=123)</formula>
    </cfRule>
  </conditionalFormatting>
  <conditionalFormatting sqref="D39:E39">
    <cfRule type="expression" dxfId="1946" priority="1928">
      <formula>$B39&lt;&gt;""</formula>
    </cfRule>
  </conditionalFormatting>
  <conditionalFormatting sqref="D39">
    <cfRule type="expression" dxfId="1945" priority="1927">
      <formula>OR($Z39=1,$Z39=12,$Z39=123)</formula>
    </cfRule>
  </conditionalFormatting>
  <conditionalFormatting sqref="E39">
    <cfRule type="expression" dxfId="1944" priority="1926">
      <formula>OR($Z39=2,$Z39=12,$Z39=123)</formula>
    </cfRule>
  </conditionalFormatting>
  <conditionalFormatting sqref="D40:E40">
    <cfRule type="expression" dxfId="1943" priority="1925">
      <formula>$B40&lt;&gt;""</formula>
    </cfRule>
  </conditionalFormatting>
  <conditionalFormatting sqref="D40">
    <cfRule type="expression" dxfId="1942" priority="1924">
      <formula>OR($Z40=1,$Z40=12,$Z40=123)</formula>
    </cfRule>
  </conditionalFormatting>
  <conditionalFormatting sqref="E40">
    <cfRule type="expression" dxfId="1941" priority="1923">
      <formula>OR($Z40=2,$Z40=12,$Z40=123)</formula>
    </cfRule>
  </conditionalFormatting>
  <conditionalFormatting sqref="D42:E42">
    <cfRule type="expression" dxfId="1940" priority="1922">
      <formula>$B42&lt;&gt;""</formula>
    </cfRule>
  </conditionalFormatting>
  <conditionalFormatting sqref="D42">
    <cfRule type="expression" dxfId="1939" priority="1921">
      <formula>OR($Z42=1,$Z42=12,$Z42=123)</formula>
    </cfRule>
  </conditionalFormatting>
  <conditionalFormatting sqref="E42">
    <cfRule type="expression" dxfId="1938" priority="1920">
      <formula>OR($Z42=2,$Z42=12,$Z42=123)</formula>
    </cfRule>
  </conditionalFormatting>
  <conditionalFormatting sqref="D43:E43">
    <cfRule type="expression" dxfId="1937" priority="1919">
      <formula>$B43&lt;&gt;""</formula>
    </cfRule>
  </conditionalFormatting>
  <conditionalFormatting sqref="D43">
    <cfRule type="expression" dxfId="1936" priority="1918">
      <formula>OR($Z43=1,$Z43=12,$Z43=123)</formula>
    </cfRule>
  </conditionalFormatting>
  <conditionalFormatting sqref="E43">
    <cfRule type="expression" dxfId="1935" priority="1917">
      <formula>OR($Z43=2,$Z43=12,$Z43=123)</formula>
    </cfRule>
  </conditionalFormatting>
  <conditionalFormatting sqref="D32">
    <cfRule type="expression" dxfId="1934" priority="1916">
      <formula>$B32&lt;&gt;""</formula>
    </cfRule>
  </conditionalFormatting>
  <conditionalFormatting sqref="D32">
    <cfRule type="expression" dxfId="1933" priority="1915">
      <formula>OR($Z32=1,$Z32=12,$Z32=123)</formula>
    </cfRule>
  </conditionalFormatting>
  <conditionalFormatting sqref="A28:H28">
    <cfRule type="expression" dxfId="1932" priority="1914">
      <formula>$B28&lt;&gt;""</formula>
    </cfRule>
  </conditionalFormatting>
  <conditionalFormatting sqref="D28">
    <cfRule type="expression" dxfId="1931" priority="1913">
      <formula>OR($Z28=1,$Z28=12,$Z28=123)</formula>
    </cfRule>
  </conditionalFormatting>
  <conditionalFormatting sqref="E28">
    <cfRule type="expression" dxfId="1930" priority="1912">
      <formula>OR($Z28=2,$Z28=12,$Z28=123)</formula>
    </cfRule>
  </conditionalFormatting>
  <conditionalFormatting sqref="D29:E29">
    <cfRule type="expression" dxfId="1929" priority="1911">
      <formula>$B29&lt;&gt;""</formula>
    </cfRule>
  </conditionalFormatting>
  <conditionalFormatting sqref="D29">
    <cfRule type="expression" dxfId="1928" priority="1910">
      <formula>OR($Z29=1,$Z29=12,$Z29=123)</formula>
    </cfRule>
  </conditionalFormatting>
  <conditionalFormatting sqref="E29">
    <cfRule type="expression" dxfId="1927" priority="1909">
      <formula>OR($Z29=2,$Z29=12,$Z29=123)</formula>
    </cfRule>
  </conditionalFormatting>
  <conditionalFormatting sqref="D32:E32">
    <cfRule type="expression" dxfId="1926" priority="1908">
      <formula>$B32&lt;&gt;""</formula>
    </cfRule>
  </conditionalFormatting>
  <conditionalFormatting sqref="D32">
    <cfRule type="expression" dxfId="1925" priority="1907">
      <formula>OR($Z32=1,$Z32=12,$Z32=123)</formula>
    </cfRule>
  </conditionalFormatting>
  <conditionalFormatting sqref="E32">
    <cfRule type="expression" dxfId="1924" priority="1906">
      <formula>OR($Z32=2,$Z32=12,$Z32=123)</formula>
    </cfRule>
  </conditionalFormatting>
  <conditionalFormatting sqref="D30:E30">
    <cfRule type="expression" dxfId="1923" priority="1905">
      <formula>$B30&lt;&gt;""</formula>
    </cfRule>
  </conditionalFormatting>
  <conditionalFormatting sqref="D30">
    <cfRule type="expression" dxfId="1922" priority="1904">
      <formula>OR($Z30=1,$Z30=12,$Z30=123)</formula>
    </cfRule>
  </conditionalFormatting>
  <conditionalFormatting sqref="E30">
    <cfRule type="expression" dxfId="1921" priority="1903">
      <formula>OR($Z30=2,$Z30=12,$Z30=123)</formula>
    </cfRule>
  </conditionalFormatting>
  <conditionalFormatting sqref="D31:E31">
    <cfRule type="expression" dxfId="1920" priority="1902">
      <formula>$B31&lt;&gt;""</formula>
    </cfRule>
  </conditionalFormatting>
  <conditionalFormatting sqref="D31">
    <cfRule type="expression" dxfId="1919" priority="1901">
      <formula>OR($Z31=1,$Z31=12,$Z31=123)</formula>
    </cfRule>
  </conditionalFormatting>
  <conditionalFormatting sqref="E31">
    <cfRule type="expression" dxfId="1918" priority="1900">
      <formula>OR($Z31=2,$Z31=12,$Z31=123)</formula>
    </cfRule>
  </conditionalFormatting>
  <conditionalFormatting sqref="E33">
    <cfRule type="expression" dxfId="1917" priority="1899">
      <formula>$B33&lt;&gt;""</formula>
    </cfRule>
  </conditionalFormatting>
  <conditionalFormatting sqref="E33">
    <cfRule type="expression" dxfId="1916" priority="1898">
      <formula>OR($Z33=2,$Z33=12,$Z33=123)</formula>
    </cfRule>
  </conditionalFormatting>
  <conditionalFormatting sqref="D34:E34">
    <cfRule type="expression" dxfId="1915" priority="1897">
      <formula>$B34&lt;&gt;""</formula>
    </cfRule>
  </conditionalFormatting>
  <conditionalFormatting sqref="D34">
    <cfRule type="expression" dxfId="1914" priority="1896">
      <formula>OR($Z34=1,$Z34=12,$Z34=123)</formula>
    </cfRule>
  </conditionalFormatting>
  <conditionalFormatting sqref="E34">
    <cfRule type="expression" dxfId="1913" priority="1895">
      <formula>OR($Z34=2,$Z34=12,$Z34=123)</formula>
    </cfRule>
  </conditionalFormatting>
  <conditionalFormatting sqref="D33">
    <cfRule type="expression" dxfId="1912" priority="1894">
      <formula>$B33&lt;&gt;""</formula>
    </cfRule>
  </conditionalFormatting>
  <conditionalFormatting sqref="D33">
    <cfRule type="expression" dxfId="1911" priority="1893">
      <formula>OR($Z33=1,$Z33=12,$Z33=123)</formula>
    </cfRule>
  </conditionalFormatting>
  <conditionalFormatting sqref="D32:E32">
    <cfRule type="expression" dxfId="1910" priority="1892">
      <formula>$B32&lt;&gt;""</formula>
    </cfRule>
  </conditionalFormatting>
  <conditionalFormatting sqref="D32">
    <cfRule type="expression" dxfId="1909" priority="1891">
      <formula>OR($Z32=1,$Z32=12,$Z32=123)</formula>
    </cfRule>
  </conditionalFormatting>
  <conditionalFormatting sqref="E32">
    <cfRule type="expression" dxfId="1908" priority="1890">
      <formula>OR($Z32=2,$Z32=12,$Z32=123)</formula>
    </cfRule>
  </conditionalFormatting>
  <conditionalFormatting sqref="D33:E33">
    <cfRule type="expression" dxfId="1907" priority="1889">
      <formula>$B33&lt;&gt;""</formula>
    </cfRule>
  </conditionalFormatting>
  <conditionalFormatting sqref="D33">
    <cfRule type="expression" dxfId="1906" priority="1888">
      <formula>OR($Z33=1,$Z33=12,$Z33=123)</formula>
    </cfRule>
  </conditionalFormatting>
  <conditionalFormatting sqref="E33">
    <cfRule type="expression" dxfId="1905" priority="1887">
      <formula>OR($Z33=2,$Z33=12,$Z33=123)</formula>
    </cfRule>
  </conditionalFormatting>
  <conditionalFormatting sqref="D35:E35">
    <cfRule type="expression" dxfId="1904" priority="1886">
      <formula>$B35&lt;&gt;""</formula>
    </cfRule>
  </conditionalFormatting>
  <conditionalFormatting sqref="D35">
    <cfRule type="expression" dxfId="1903" priority="1885">
      <formula>OR($Z35=1,$Z35=12,$Z35=123)</formula>
    </cfRule>
  </conditionalFormatting>
  <conditionalFormatting sqref="E35">
    <cfRule type="expression" dxfId="1902" priority="1884">
      <formula>OR($Z35=2,$Z35=12,$Z35=123)</formula>
    </cfRule>
  </conditionalFormatting>
  <conditionalFormatting sqref="D36:E36">
    <cfRule type="expression" dxfId="1901" priority="1883">
      <formula>$B36&lt;&gt;""</formula>
    </cfRule>
  </conditionalFormatting>
  <conditionalFormatting sqref="D36">
    <cfRule type="expression" dxfId="1900" priority="1882">
      <formula>OR($Z36=1,$Z36=12,$Z36=123)</formula>
    </cfRule>
  </conditionalFormatting>
  <conditionalFormatting sqref="E36">
    <cfRule type="expression" dxfId="1899" priority="1881">
      <formula>OR($Z36=2,$Z36=12,$Z36=123)</formula>
    </cfRule>
  </conditionalFormatting>
  <conditionalFormatting sqref="D37:E37">
    <cfRule type="expression" dxfId="1898" priority="1880">
      <formula>$B37&lt;&gt;""</formula>
    </cfRule>
  </conditionalFormatting>
  <conditionalFormatting sqref="D37">
    <cfRule type="expression" dxfId="1897" priority="1879">
      <formula>OR($Z37=1,$Z37=12,$Z37=123)</formula>
    </cfRule>
  </conditionalFormatting>
  <conditionalFormatting sqref="E37">
    <cfRule type="expression" dxfId="1896" priority="1878">
      <formula>OR($Z37=2,$Z37=12,$Z37=123)</formula>
    </cfRule>
  </conditionalFormatting>
  <conditionalFormatting sqref="D39:E39">
    <cfRule type="expression" dxfId="1895" priority="1877">
      <formula>$B39&lt;&gt;""</formula>
    </cfRule>
  </conditionalFormatting>
  <conditionalFormatting sqref="D39">
    <cfRule type="expression" dxfId="1894" priority="1876">
      <formula>OR($Z39=1,$Z39=12,$Z39=123)</formula>
    </cfRule>
  </conditionalFormatting>
  <conditionalFormatting sqref="E39">
    <cfRule type="expression" dxfId="1893" priority="1875">
      <formula>OR($Z39=2,$Z39=12,$Z39=123)</formula>
    </cfRule>
  </conditionalFormatting>
  <conditionalFormatting sqref="D40:E40">
    <cfRule type="expression" dxfId="1892" priority="1874">
      <formula>$B40&lt;&gt;""</formula>
    </cfRule>
  </conditionalFormatting>
  <conditionalFormatting sqref="D40">
    <cfRule type="expression" dxfId="1891" priority="1873">
      <formula>OR($Z40=1,$Z40=12,$Z40=123)</formula>
    </cfRule>
  </conditionalFormatting>
  <conditionalFormatting sqref="E40">
    <cfRule type="expression" dxfId="1890" priority="1872">
      <formula>OR($Z40=2,$Z40=12,$Z40=123)</formula>
    </cfRule>
  </conditionalFormatting>
  <conditionalFormatting sqref="D42:E42">
    <cfRule type="expression" dxfId="1889" priority="1871">
      <formula>$B42&lt;&gt;""</formula>
    </cfRule>
  </conditionalFormatting>
  <conditionalFormatting sqref="D42">
    <cfRule type="expression" dxfId="1888" priority="1870">
      <formula>OR($Z42=1,$Z42=12,$Z42=123)</formula>
    </cfRule>
  </conditionalFormatting>
  <conditionalFormatting sqref="E42">
    <cfRule type="expression" dxfId="1887" priority="1869">
      <formula>OR($Z42=2,$Z42=12,$Z42=123)</formula>
    </cfRule>
  </conditionalFormatting>
  <conditionalFormatting sqref="D33:E33">
    <cfRule type="expression" dxfId="1886" priority="1868">
      <formula>$B33&lt;&gt;""</formula>
    </cfRule>
  </conditionalFormatting>
  <conditionalFormatting sqref="D33">
    <cfRule type="expression" dxfId="1885" priority="1867">
      <formula>OR($Z33=1,$Z33=12,$Z33=123)</formula>
    </cfRule>
  </conditionalFormatting>
  <conditionalFormatting sqref="E33">
    <cfRule type="expression" dxfId="1884" priority="1866">
      <formula>OR($Z33=2,$Z33=12,$Z33=123)</formula>
    </cfRule>
  </conditionalFormatting>
  <conditionalFormatting sqref="D34:E34">
    <cfRule type="expression" dxfId="1883" priority="1865">
      <formula>$B34&lt;&gt;""</formula>
    </cfRule>
  </conditionalFormatting>
  <conditionalFormatting sqref="D34">
    <cfRule type="expression" dxfId="1882" priority="1864">
      <formula>OR($Z34=1,$Z34=12,$Z34=123)</formula>
    </cfRule>
  </conditionalFormatting>
  <conditionalFormatting sqref="E34">
    <cfRule type="expression" dxfId="1881" priority="1863">
      <formula>OR($Z34=2,$Z34=12,$Z34=123)</formula>
    </cfRule>
  </conditionalFormatting>
  <conditionalFormatting sqref="D36:E36">
    <cfRule type="expression" dxfId="1880" priority="1862">
      <formula>$B36&lt;&gt;""</formula>
    </cfRule>
  </conditionalFormatting>
  <conditionalFormatting sqref="D36">
    <cfRule type="expression" dxfId="1879" priority="1861">
      <formula>OR($Z36=1,$Z36=12,$Z36=123)</formula>
    </cfRule>
  </conditionalFormatting>
  <conditionalFormatting sqref="E36">
    <cfRule type="expression" dxfId="1878" priority="1860">
      <formula>OR($Z36=2,$Z36=12,$Z36=123)</formula>
    </cfRule>
  </conditionalFormatting>
  <conditionalFormatting sqref="D37:E37">
    <cfRule type="expression" dxfId="1877" priority="1859">
      <formula>$B37&lt;&gt;""</formula>
    </cfRule>
  </conditionalFormatting>
  <conditionalFormatting sqref="D37">
    <cfRule type="expression" dxfId="1876" priority="1858">
      <formula>OR($Z37=1,$Z37=12,$Z37=123)</formula>
    </cfRule>
  </conditionalFormatting>
  <conditionalFormatting sqref="E37">
    <cfRule type="expression" dxfId="1875" priority="1857">
      <formula>OR($Z37=2,$Z37=12,$Z37=123)</formula>
    </cfRule>
  </conditionalFormatting>
  <conditionalFormatting sqref="D38:E38">
    <cfRule type="expression" dxfId="1874" priority="1856">
      <formula>$B38&lt;&gt;""</formula>
    </cfRule>
  </conditionalFormatting>
  <conditionalFormatting sqref="D38">
    <cfRule type="expression" dxfId="1873" priority="1855">
      <formula>OR($Z38=1,$Z38=12,$Z38=123)</formula>
    </cfRule>
  </conditionalFormatting>
  <conditionalFormatting sqref="E38">
    <cfRule type="expression" dxfId="1872" priority="1854">
      <formula>OR($Z38=2,$Z38=12,$Z38=123)</formula>
    </cfRule>
  </conditionalFormatting>
  <conditionalFormatting sqref="D40:E40">
    <cfRule type="expression" dxfId="1871" priority="1853">
      <formula>$B40&lt;&gt;""</formula>
    </cfRule>
  </conditionalFormatting>
  <conditionalFormatting sqref="D40">
    <cfRule type="expression" dxfId="1870" priority="1852">
      <formula>OR($Z40=1,$Z40=12,$Z40=123)</formula>
    </cfRule>
  </conditionalFormatting>
  <conditionalFormatting sqref="E40">
    <cfRule type="expression" dxfId="1869" priority="1851">
      <formula>OR($Z40=2,$Z40=12,$Z40=123)</formula>
    </cfRule>
  </conditionalFormatting>
  <conditionalFormatting sqref="D41:E41">
    <cfRule type="expression" dxfId="1868" priority="1850">
      <formula>$B41&lt;&gt;""</formula>
    </cfRule>
  </conditionalFormatting>
  <conditionalFormatting sqref="D41">
    <cfRule type="expression" dxfId="1867" priority="1849">
      <formula>OR($Z41=1,$Z41=12,$Z41=123)</formula>
    </cfRule>
  </conditionalFormatting>
  <conditionalFormatting sqref="E41">
    <cfRule type="expression" dxfId="1866" priority="1848">
      <formula>OR($Z41=2,$Z41=12,$Z41=123)</formula>
    </cfRule>
  </conditionalFormatting>
  <conditionalFormatting sqref="D32:E32">
    <cfRule type="expression" dxfId="1865" priority="1847">
      <formula>$B32&lt;&gt;""</formula>
    </cfRule>
  </conditionalFormatting>
  <conditionalFormatting sqref="D32">
    <cfRule type="expression" dxfId="1864" priority="1846">
      <formula>OR($Z32=1,$Z32=12,$Z32=123)</formula>
    </cfRule>
  </conditionalFormatting>
  <conditionalFormatting sqref="E32">
    <cfRule type="expression" dxfId="1863" priority="1845">
      <formula>OR($Z32=2,$Z32=12,$Z32=123)</formula>
    </cfRule>
  </conditionalFormatting>
  <conditionalFormatting sqref="D33:E33">
    <cfRule type="expression" dxfId="1862" priority="1844">
      <formula>$B33&lt;&gt;""</formula>
    </cfRule>
  </conditionalFormatting>
  <conditionalFormatting sqref="D33">
    <cfRule type="expression" dxfId="1861" priority="1843">
      <formula>OR($Z33=1,$Z33=12,$Z33=123)</formula>
    </cfRule>
  </conditionalFormatting>
  <conditionalFormatting sqref="E33">
    <cfRule type="expression" dxfId="1860" priority="1842">
      <formula>OR($Z33=2,$Z33=12,$Z33=123)</formula>
    </cfRule>
  </conditionalFormatting>
  <conditionalFormatting sqref="D34:E34">
    <cfRule type="expression" dxfId="1859" priority="1841">
      <formula>$B34&lt;&gt;""</formula>
    </cfRule>
  </conditionalFormatting>
  <conditionalFormatting sqref="D34">
    <cfRule type="expression" dxfId="1858" priority="1840">
      <formula>OR($Z34=1,$Z34=12,$Z34=123)</formula>
    </cfRule>
  </conditionalFormatting>
  <conditionalFormatting sqref="E34">
    <cfRule type="expression" dxfId="1857" priority="1839">
      <formula>OR($Z34=2,$Z34=12,$Z34=123)</formula>
    </cfRule>
  </conditionalFormatting>
  <conditionalFormatting sqref="D36:E36">
    <cfRule type="expression" dxfId="1856" priority="1838">
      <formula>$B36&lt;&gt;""</formula>
    </cfRule>
  </conditionalFormatting>
  <conditionalFormatting sqref="D36">
    <cfRule type="expression" dxfId="1855" priority="1837">
      <formula>OR($Z36=1,$Z36=12,$Z36=123)</formula>
    </cfRule>
  </conditionalFormatting>
  <conditionalFormatting sqref="E36">
    <cfRule type="expression" dxfId="1854" priority="1836">
      <formula>OR($Z36=2,$Z36=12,$Z36=123)</formula>
    </cfRule>
  </conditionalFormatting>
  <conditionalFormatting sqref="D37:E37">
    <cfRule type="expression" dxfId="1853" priority="1835">
      <formula>$B37&lt;&gt;""</formula>
    </cfRule>
  </conditionalFormatting>
  <conditionalFormatting sqref="D37">
    <cfRule type="expression" dxfId="1852" priority="1834">
      <formula>OR($Z37=1,$Z37=12,$Z37=123)</formula>
    </cfRule>
  </conditionalFormatting>
  <conditionalFormatting sqref="E37">
    <cfRule type="expression" dxfId="1851" priority="1833">
      <formula>OR($Z37=2,$Z37=12,$Z37=123)</formula>
    </cfRule>
  </conditionalFormatting>
  <conditionalFormatting sqref="D38:E38">
    <cfRule type="expression" dxfId="1850" priority="1832">
      <formula>$B38&lt;&gt;""</formula>
    </cfRule>
  </conditionalFormatting>
  <conditionalFormatting sqref="D38">
    <cfRule type="expression" dxfId="1849" priority="1831">
      <formula>OR($Z38=1,$Z38=12,$Z38=123)</formula>
    </cfRule>
  </conditionalFormatting>
  <conditionalFormatting sqref="E38">
    <cfRule type="expression" dxfId="1848" priority="1830">
      <formula>OR($Z38=2,$Z38=12,$Z38=123)</formula>
    </cfRule>
  </conditionalFormatting>
  <conditionalFormatting sqref="D40:E40">
    <cfRule type="expression" dxfId="1847" priority="1829">
      <formula>$B40&lt;&gt;""</formula>
    </cfRule>
  </conditionalFormatting>
  <conditionalFormatting sqref="D40">
    <cfRule type="expression" dxfId="1846" priority="1828">
      <formula>OR($Z40=1,$Z40=12,$Z40=123)</formula>
    </cfRule>
  </conditionalFormatting>
  <conditionalFormatting sqref="E40">
    <cfRule type="expression" dxfId="1845" priority="1827">
      <formula>OR($Z40=2,$Z40=12,$Z40=123)</formula>
    </cfRule>
  </conditionalFormatting>
  <conditionalFormatting sqref="D41:E41">
    <cfRule type="expression" dxfId="1844" priority="1826">
      <formula>$B41&lt;&gt;""</formula>
    </cfRule>
  </conditionalFormatting>
  <conditionalFormatting sqref="D41">
    <cfRule type="expression" dxfId="1843" priority="1825">
      <formula>OR($Z41=1,$Z41=12,$Z41=123)</formula>
    </cfRule>
  </conditionalFormatting>
  <conditionalFormatting sqref="E41">
    <cfRule type="expression" dxfId="1842" priority="1824">
      <formula>OR($Z41=2,$Z41=12,$Z41=123)</formula>
    </cfRule>
  </conditionalFormatting>
  <conditionalFormatting sqref="D32:E32">
    <cfRule type="expression" dxfId="1841" priority="1823">
      <formula>$B32&lt;&gt;""</formula>
    </cfRule>
  </conditionalFormatting>
  <conditionalFormatting sqref="D32">
    <cfRule type="expression" dxfId="1840" priority="1822">
      <formula>OR($Z32=1,$Z32=12,$Z32=123)</formula>
    </cfRule>
  </conditionalFormatting>
  <conditionalFormatting sqref="E32">
    <cfRule type="expression" dxfId="1839" priority="1821">
      <formula>OR($Z32=2,$Z32=12,$Z32=123)</formula>
    </cfRule>
  </conditionalFormatting>
  <conditionalFormatting sqref="D32:E32">
    <cfRule type="expression" dxfId="1838" priority="1820">
      <formula>$B32&lt;&gt;""</formula>
    </cfRule>
  </conditionalFormatting>
  <conditionalFormatting sqref="D32">
    <cfRule type="expression" dxfId="1837" priority="1819">
      <formula>OR($Z32=1,$Z32=12,$Z32=123)</formula>
    </cfRule>
  </conditionalFormatting>
  <conditionalFormatting sqref="E32">
    <cfRule type="expression" dxfId="1836" priority="1818">
      <formula>OR($Z32=2,$Z32=12,$Z32=123)</formula>
    </cfRule>
  </conditionalFormatting>
  <conditionalFormatting sqref="D34:E34">
    <cfRule type="expression" dxfId="1835" priority="1817">
      <formula>$B34&lt;&gt;""</formula>
    </cfRule>
  </conditionalFormatting>
  <conditionalFormatting sqref="D34">
    <cfRule type="expression" dxfId="1834" priority="1816">
      <formula>OR($Z34=1,$Z34=12,$Z34=123)</formula>
    </cfRule>
  </conditionalFormatting>
  <conditionalFormatting sqref="E34">
    <cfRule type="expression" dxfId="1833" priority="1815">
      <formula>OR($Z34=2,$Z34=12,$Z34=123)</formula>
    </cfRule>
  </conditionalFormatting>
  <conditionalFormatting sqref="D35:E35">
    <cfRule type="expression" dxfId="1832" priority="1814">
      <formula>$B35&lt;&gt;""</formula>
    </cfRule>
  </conditionalFormatting>
  <conditionalFormatting sqref="D35">
    <cfRule type="expression" dxfId="1831" priority="1813">
      <formula>OR($Z35=1,$Z35=12,$Z35=123)</formula>
    </cfRule>
  </conditionalFormatting>
  <conditionalFormatting sqref="E35">
    <cfRule type="expression" dxfId="1830" priority="1812">
      <formula>OR($Z35=2,$Z35=12,$Z35=123)</formula>
    </cfRule>
  </conditionalFormatting>
  <conditionalFormatting sqref="D37:E37">
    <cfRule type="expression" dxfId="1829" priority="1811">
      <formula>$B37&lt;&gt;""</formula>
    </cfRule>
  </conditionalFormatting>
  <conditionalFormatting sqref="D37">
    <cfRule type="expression" dxfId="1828" priority="1810">
      <formula>OR($Z37=1,$Z37=12,$Z37=123)</formula>
    </cfRule>
  </conditionalFormatting>
  <conditionalFormatting sqref="E37">
    <cfRule type="expression" dxfId="1827" priority="1809">
      <formula>OR($Z37=2,$Z37=12,$Z37=123)</formula>
    </cfRule>
  </conditionalFormatting>
  <conditionalFormatting sqref="D38:E38">
    <cfRule type="expression" dxfId="1826" priority="1808">
      <formula>$B38&lt;&gt;""</formula>
    </cfRule>
  </conditionalFormatting>
  <conditionalFormatting sqref="D38">
    <cfRule type="expression" dxfId="1825" priority="1807">
      <formula>OR($Z38=1,$Z38=12,$Z38=123)</formula>
    </cfRule>
  </conditionalFormatting>
  <conditionalFormatting sqref="E38">
    <cfRule type="expression" dxfId="1824" priority="1806">
      <formula>OR($Z38=2,$Z38=12,$Z38=123)</formula>
    </cfRule>
  </conditionalFormatting>
  <conditionalFormatting sqref="D39:E39">
    <cfRule type="expression" dxfId="1823" priority="1805">
      <formula>$B39&lt;&gt;""</formula>
    </cfRule>
  </conditionalFormatting>
  <conditionalFormatting sqref="D39">
    <cfRule type="expression" dxfId="1822" priority="1804">
      <formula>OR($Z39=1,$Z39=12,$Z39=123)</formula>
    </cfRule>
  </conditionalFormatting>
  <conditionalFormatting sqref="E39">
    <cfRule type="expression" dxfId="1821" priority="1803">
      <formula>OR($Z39=2,$Z39=12,$Z39=123)</formula>
    </cfRule>
  </conditionalFormatting>
  <conditionalFormatting sqref="D41:E41">
    <cfRule type="expression" dxfId="1820" priority="1802">
      <formula>$B41&lt;&gt;""</formula>
    </cfRule>
  </conditionalFormatting>
  <conditionalFormatting sqref="D41">
    <cfRule type="expression" dxfId="1819" priority="1801">
      <formula>OR($Z41=1,$Z41=12,$Z41=123)</formula>
    </cfRule>
  </conditionalFormatting>
  <conditionalFormatting sqref="E41">
    <cfRule type="expression" dxfId="1818" priority="1800">
      <formula>OR($Z41=2,$Z41=12,$Z41=123)</formula>
    </cfRule>
  </conditionalFormatting>
  <conditionalFormatting sqref="D42:E42">
    <cfRule type="expression" dxfId="1817" priority="1799">
      <formula>$B42&lt;&gt;""</formula>
    </cfRule>
  </conditionalFormatting>
  <conditionalFormatting sqref="D42">
    <cfRule type="expression" dxfId="1816" priority="1798">
      <formula>OR($Z42=1,$Z42=12,$Z42=123)</formula>
    </cfRule>
  </conditionalFormatting>
  <conditionalFormatting sqref="E42">
    <cfRule type="expression" dxfId="1815" priority="1797">
      <formula>OR($Z42=2,$Z42=12,$Z42=123)</formula>
    </cfRule>
  </conditionalFormatting>
  <conditionalFormatting sqref="E32">
    <cfRule type="expression" dxfId="1814" priority="1796">
      <formula>$B32&lt;&gt;""</formula>
    </cfRule>
  </conditionalFormatting>
  <conditionalFormatting sqref="E32">
    <cfRule type="expression" dxfId="1813" priority="1795">
      <formula>OR($Z32=2,$Z32=12,$Z32=123)</formula>
    </cfRule>
  </conditionalFormatting>
  <conditionalFormatting sqref="D33:E33">
    <cfRule type="expression" dxfId="1812" priority="1794">
      <formula>$B33&lt;&gt;""</formula>
    </cfRule>
  </conditionalFormatting>
  <conditionalFormatting sqref="D33">
    <cfRule type="expression" dxfId="1811" priority="1793">
      <formula>OR($Z33=1,$Z33=12,$Z33=123)</formula>
    </cfRule>
  </conditionalFormatting>
  <conditionalFormatting sqref="E33">
    <cfRule type="expression" dxfId="1810" priority="1792">
      <formula>OR($Z33=2,$Z33=12,$Z33=123)</formula>
    </cfRule>
  </conditionalFormatting>
  <conditionalFormatting sqref="D32">
    <cfRule type="expression" dxfId="1809" priority="1791">
      <formula>$B32&lt;&gt;""</formula>
    </cfRule>
  </conditionalFormatting>
  <conditionalFormatting sqref="D32">
    <cfRule type="expression" dxfId="1808" priority="1790">
      <formula>OR($Z32=1,$Z32=12,$Z32=123)</formula>
    </cfRule>
  </conditionalFormatting>
  <conditionalFormatting sqref="D29:E29">
    <cfRule type="expression" dxfId="1807" priority="1789">
      <formula>$B29&lt;&gt;""</formula>
    </cfRule>
  </conditionalFormatting>
  <conditionalFormatting sqref="D29">
    <cfRule type="expression" dxfId="1806" priority="1788">
      <formula>OR($Z29=1,$Z29=12,$Z29=123)</formula>
    </cfRule>
  </conditionalFormatting>
  <conditionalFormatting sqref="E29">
    <cfRule type="expression" dxfId="1805" priority="1787">
      <formula>OR($Z29=2,$Z29=12,$Z29=123)</formula>
    </cfRule>
  </conditionalFormatting>
  <conditionalFormatting sqref="A45:H45">
    <cfRule type="expression" dxfId="1804" priority="1786">
      <formula>$B45&lt;&gt;""</formula>
    </cfRule>
  </conditionalFormatting>
  <conditionalFormatting sqref="D45">
    <cfRule type="expression" dxfId="1803" priority="1785">
      <formula>OR($Z45=1,$Z45=12,$Z45=123)</formula>
    </cfRule>
  </conditionalFormatting>
  <conditionalFormatting sqref="E45">
    <cfRule type="expression" dxfId="1802" priority="1784">
      <formula>OR($Z45=2,$Z45=12,$Z45=123)</formula>
    </cfRule>
  </conditionalFormatting>
  <conditionalFormatting sqref="D27:E27">
    <cfRule type="expression" dxfId="1801" priority="1783">
      <formula>$B27&lt;&gt;""</formula>
    </cfRule>
  </conditionalFormatting>
  <conditionalFormatting sqref="D27">
    <cfRule type="expression" dxfId="1800" priority="1782">
      <formula>OR($Z27=1,$Z27=12,$Z27=123)</formula>
    </cfRule>
  </conditionalFormatting>
  <conditionalFormatting sqref="E27">
    <cfRule type="expression" dxfId="1799" priority="1781">
      <formula>OR($Z27=2,$Z27=12,$Z27=123)</formula>
    </cfRule>
  </conditionalFormatting>
  <conditionalFormatting sqref="D28:E28">
    <cfRule type="expression" dxfId="1798" priority="1780">
      <formula>$B28&lt;&gt;""</formula>
    </cfRule>
  </conditionalFormatting>
  <conditionalFormatting sqref="D28">
    <cfRule type="expression" dxfId="1797" priority="1779">
      <formula>OR($Z28=1,$Z28=12,$Z28=123)</formula>
    </cfRule>
  </conditionalFormatting>
  <conditionalFormatting sqref="E28">
    <cfRule type="expression" dxfId="1796" priority="1778">
      <formula>OR($Z28=2,$Z28=12,$Z28=123)</formula>
    </cfRule>
  </conditionalFormatting>
  <conditionalFormatting sqref="E30">
    <cfRule type="expression" dxfId="1795" priority="1777">
      <formula>$B30&lt;&gt;""</formula>
    </cfRule>
  </conditionalFormatting>
  <conditionalFormatting sqref="E30">
    <cfRule type="expression" dxfId="1794" priority="1776">
      <formula>OR($Z30=2,$Z30=12,$Z30=123)</formula>
    </cfRule>
  </conditionalFormatting>
  <conditionalFormatting sqref="D31:E31">
    <cfRule type="expression" dxfId="1793" priority="1775">
      <formula>$B31&lt;&gt;""</formula>
    </cfRule>
  </conditionalFormatting>
  <conditionalFormatting sqref="D31">
    <cfRule type="expression" dxfId="1792" priority="1774">
      <formula>OR($Z31=1,$Z31=12,$Z31=123)</formula>
    </cfRule>
  </conditionalFormatting>
  <conditionalFormatting sqref="E31">
    <cfRule type="expression" dxfId="1791" priority="1773">
      <formula>OR($Z31=2,$Z31=12,$Z31=123)</formula>
    </cfRule>
  </conditionalFormatting>
  <conditionalFormatting sqref="D33:E33">
    <cfRule type="expression" dxfId="1790" priority="1772">
      <formula>$B33&lt;&gt;""</formula>
    </cfRule>
  </conditionalFormatting>
  <conditionalFormatting sqref="D33">
    <cfRule type="expression" dxfId="1789" priority="1771">
      <formula>OR($Z33=1,$Z33=12,$Z33=123)</formula>
    </cfRule>
  </conditionalFormatting>
  <conditionalFormatting sqref="E33">
    <cfRule type="expression" dxfId="1788" priority="1770">
      <formula>OR($Z33=2,$Z33=12,$Z33=123)</formula>
    </cfRule>
  </conditionalFormatting>
  <conditionalFormatting sqref="D34:E34">
    <cfRule type="expression" dxfId="1787" priority="1769">
      <formula>$B34&lt;&gt;""</formula>
    </cfRule>
  </conditionalFormatting>
  <conditionalFormatting sqref="D34">
    <cfRule type="expression" dxfId="1786" priority="1768">
      <formula>OR($Z34=1,$Z34=12,$Z34=123)</formula>
    </cfRule>
  </conditionalFormatting>
  <conditionalFormatting sqref="E34">
    <cfRule type="expression" dxfId="1785" priority="1767">
      <formula>OR($Z34=2,$Z34=12,$Z34=123)</formula>
    </cfRule>
  </conditionalFormatting>
  <conditionalFormatting sqref="D36:E36">
    <cfRule type="expression" dxfId="1784" priority="1766">
      <formula>$B36&lt;&gt;""</formula>
    </cfRule>
  </conditionalFormatting>
  <conditionalFormatting sqref="D36">
    <cfRule type="expression" dxfId="1783" priority="1765">
      <formula>OR($Z36=1,$Z36=12,$Z36=123)</formula>
    </cfRule>
  </conditionalFormatting>
  <conditionalFormatting sqref="E36">
    <cfRule type="expression" dxfId="1782" priority="1764">
      <formula>OR($Z36=2,$Z36=12,$Z36=123)</formula>
    </cfRule>
  </conditionalFormatting>
  <conditionalFormatting sqref="D37:E37">
    <cfRule type="expression" dxfId="1781" priority="1763">
      <formula>$B37&lt;&gt;""</formula>
    </cfRule>
  </conditionalFormatting>
  <conditionalFormatting sqref="D37">
    <cfRule type="expression" dxfId="1780" priority="1762">
      <formula>OR($Z37=1,$Z37=12,$Z37=123)</formula>
    </cfRule>
  </conditionalFormatting>
  <conditionalFormatting sqref="E37">
    <cfRule type="expression" dxfId="1779" priority="1761">
      <formula>OR($Z37=2,$Z37=12,$Z37=123)</formula>
    </cfRule>
  </conditionalFormatting>
  <conditionalFormatting sqref="D38:E38">
    <cfRule type="expression" dxfId="1778" priority="1760">
      <formula>$B38&lt;&gt;""</formula>
    </cfRule>
  </conditionalFormatting>
  <conditionalFormatting sqref="D38">
    <cfRule type="expression" dxfId="1777" priority="1759">
      <formula>OR($Z38=1,$Z38=12,$Z38=123)</formula>
    </cfRule>
  </conditionalFormatting>
  <conditionalFormatting sqref="E38">
    <cfRule type="expression" dxfId="1776" priority="1758">
      <formula>OR($Z38=2,$Z38=12,$Z38=123)</formula>
    </cfRule>
  </conditionalFormatting>
  <conditionalFormatting sqref="D40:E40">
    <cfRule type="expression" dxfId="1775" priority="1757">
      <formula>$B40&lt;&gt;""</formula>
    </cfRule>
  </conditionalFormatting>
  <conditionalFormatting sqref="D40">
    <cfRule type="expression" dxfId="1774" priority="1756">
      <formula>OR($Z40=1,$Z40=12,$Z40=123)</formula>
    </cfRule>
  </conditionalFormatting>
  <conditionalFormatting sqref="E40">
    <cfRule type="expression" dxfId="1773" priority="1755">
      <formula>OR($Z40=2,$Z40=12,$Z40=123)</formula>
    </cfRule>
  </conditionalFormatting>
  <conditionalFormatting sqref="D41:E41">
    <cfRule type="expression" dxfId="1772" priority="1754">
      <formula>$B41&lt;&gt;""</formula>
    </cfRule>
  </conditionalFormatting>
  <conditionalFormatting sqref="D41">
    <cfRule type="expression" dxfId="1771" priority="1753">
      <formula>OR($Z41=1,$Z41=12,$Z41=123)</formula>
    </cfRule>
  </conditionalFormatting>
  <conditionalFormatting sqref="E41">
    <cfRule type="expression" dxfId="1770" priority="1752">
      <formula>OR($Z41=2,$Z41=12,$Z41=123)</formula>
    </cfRule>
  </conditionalFormatting>
  <conditionalFormatting sqref="D43:E43">
    <cfRule type="expression" dxfId="1769" priority="1751">
      <formula>$B43&lt;&gt;""</formula>
    </cfRule>
  </conditionalFormatting>
  <conditionalFormatting sqref="D43">
    <cfRule type="expression" dxfId="1768" priority="1750">
      <formula>OR($Z43=1,$Z43=12,$Z43=123)</formula>
    </cfRule>
  </conditionalFormatting>
  <conditionalFormatting sqref="E43">
    <cfRule type="expression" dxfId="1767" priority="1749">
      <formula>OR($Z43=2,$Z43=12,$Z43=123)</formula>
    </cfRule>
  </conditionalFormatting>
  <conditionalFormatting sqref="D30">
    <cfRule type="expression" dxfId="1766" priority="1748">
      <formula>$B30&lt;&gt;""</formula>
    </cfRule>
  </conditionalFormatting>
  <conditionalFormatting sqref="D30">
    <cfRule type="expression" dxfId="1765" priority="1747">
      <formula>OR($Z30=1,$Z30=12,$Z30=123)</formula>
    </cfRule>
  </conditionalFormatting>
  <conditionalFormatting sqref="D27:E27">
    <cfRule type="expression" dxfId="1764" priority="1746">
      <formula>$B27&lt;&gt;""</formula>
    </cfRule>
  </conditionalFormatting>
  <conditionalFormatting sqref="D27">
    <cfRule type="expression" dxfId="1763" priority="1745">
      <formula>OR($Z27=1,$Z27=12,$Z27=123)</formula>
    </cfRule>
  </conditionalFormatting>
  <conditionalFormatting sqref="E27">
    <cfRule type="expression" dxfId="1762" priority="1744">
      <formula>OR($Z27=2,$Z27=12,$Z27=123)</formula>
    </cfRule>
  </conditionalFormatting>
  <conditionalFormatting sqref="D30:E30">
    <cfRule type="expression" dxfId="1761" priority="1743">
      <formula>$B30&lt;&gt;""</formula>
    </cfRule>
  </conditionalFormatting>
  <conditionalFormatting sqref="D30">
    <cfRule type="expression" dxfId="1760" priority="1742">
      <formula>OR($Z30=1,$Z30=12,$Z30=123)</formula>
    </cfRule>
  </conditionalFormatting>
  <conditionalFormatting sqref="E30">
    <cfRule type="expression" dxfId="1759" priority="1741">
      <formula>OR($Z30=2,$Z30=12,$Z30=123)</formula>
    </cfRule>
  </conditionalFormatting>
  <conditionalFormatting sqref="D28:E28">
    <cfRule type="expression" dxfId="1758" priority="1740">
      <formula>$B28&lt;&gt;""</formula>
    </cfRule>
  </conditionalFormatting>
  <conditionalFormatting sqref="D28">
    <cfRule type="expression" dxfId="1757" priority="1739">
      <formula>OR($Z28=1,$Z28=12,$Z28=123)</formula>
    </cfRule>
  </conditionalFormatting>
  <conditionalFormatting sqref="E28">
    <cfRule type="expression" dxfId="1756" priority="1738">
      <formula>OR($Z28=2,$Z28=12,$Z28=123)</formula>
    </cfRule>
  </conditionalFormatting>
  <conditionalFormatting sqref="D29:E29">
    <cfRule type="expression" dxfId="1755" priority="1737">
      <formula>$B29&lt;&gt;""</formula>
    </cfRule>
  </conditionalFormatting>
  <conditionalFormatting sqref="D29">
    <cfRule type="expression" dxfId="1754" priority="1736">
      <formula>OR($Z29=1,$Z29=12,$Z29=123)</formula>
    </cfRule>
  </conditionalFormatting>
  <conditionalFormatting sqref="E29">
    <cfRule type="expression" dxfId="1753" priority="1735">
      <formula>OR($Z29=2,$Z29=12,$Z29=123)</formula>
    </cfRule>
  </conditionalFormatting>
  <conditionalFormatting sqref="E31">
    <cfRule type="expression" dxfId="1752" priority="1734">
      <formula>$B31&lt;&gt;""</formula>
    </cfRule>
  </conditionalFormatting>
  <conditionalFormatting sqref="E31">
    <cfRule type="expression" dxfId="1751" priority="1733">
      <formula>OR($Z31=2,$Z31=12,$Z31=123)</formula>
    </cfRule>
  </conditionalFormatting>
  <conditionalFormatting sqref="D32:E32">
    <cfRule type="expression" dxfId="1750" priority="1732">
      <formula>$B32&lt;&gt;""</formula>
    </cfRule>
  </conditionalFormatting>
  <conditionalFormatting sqref="D32">
    <cfRule type="expression" dxfId="1749" priority="1731">
      <formula>OR($Z32=1,$Z32=12,$Z32=123)</formula>
    </cfRule>
  </conditionalFormatting>
  <conditionalFormatting sqref="E32">
    <cfRule type="expression" dxfId="1748" priority="1730">
      <formula>OR($Z32=2,$Z32=12,$Z32=123)</formula>
    </cfRule>
  </conditionalFormatting>
  <conditionalFormatting sqref="D31">
    <cfRule type="expression" dxfId="1747" priority="1729">
      <formula>$B31&lt;&gt;""</formula>
    </cfRule>
  </conditionalFormatting>
  <conditionalFormatting sqref="D31">
    <cfRule type="expression" dxfId="1746" priority="1728">
      <formula>OR($Z31=1,$Z31=12,$Z31=123)</formula>
    </cfRule>
  </conditionalFormatting>
  <conditionalFormatting sqref="D27:E27">
    <cfRule type="expression" dxfId="1745" priority="1727">
      <formula>$B27&lt;&gt;""</formula>
    </cfRule>
  </conditionalFormatting>
  <conditionalFormatting sqref="D27">
    <cfRule type="expression" dxfId="1744" priority="1726">
      <formula>OR($Z27=1,$Z27=12,$Z27=123)</formula>
    </cfRule>
  </conditionalFormatting>
  <conditionalFormatting sqref="E27">
    <cfRule type="expression" dxfId="1743" priority="1725">
      <formula>OR($Z27=2,$Z27=12,$Z27=123)</formula>
    </cfRule>
  </conditionalFormatting>
  <conditionalFormatting sqref="D30:E30">
    <cfRule type="expression" dxfId="1742" priority="1724">
      <formula>$B30&lt;&gt;""</formula>
    </cfRule>
  </conditionalFormatting>
  <conditionalFormatting sqref="D30">
    <cfRule type="expression" dxfId="1741" priority="1723">
      <formula>OR($Z30=1,$Z30=12,$Z30=123)</formula>
    </cfRule>
  </conditionalFormatting>
  <conditionalFormatting sqref="E30">
    <cfRule type="expression" dxfId="1740" priority="1722">
      <formula>OR($Z30=2,$Z30=12,$Z30=123)</formula>
    </cfRule>
  </conditionalFormatting>
  <conditionalFormatting sqref="D28:E28">
    <cfRule type="expression" dxfId="1739" priority="1721">
      <formula>$B28&lt;&gt;""</formula>
    </cfRule>
  </conditionalFormatting>
  <conditionalFormatting sqref="D28">
    <cfRule type="expression" dxfId="1738" priority="1720">
      <formula>OR($Z28=1,$Z28=12,$Z28=123)</formula>
    </cfRule>
  </conditionalFormatting>
  <conditionalFormatting sqref="E28">
    <cfRule type="expression" dxfId="1737" priority="1719">
      <formula>OR($Z28=2,$Z28=12,$Z28=123)</formula>
    </cfRule>
  </conditionalFormatting>
  <conditionalFormatting sqref="D29:E29">
    <cfRule type="expression" dxfId="1736" priority="1718">
      <formula>$B29&lt;&gt;""</formula>
    </cfRule>
  </conditionalFormatting>
  <conditionalFormatting sqref="D29">
    <cfRule type="expression" dxfId="1735" priority="1717">
      <formula>OR($Z29=1,$Z29=12,$Z29=123)</formula>
    </cfRule>
  </conditionalFormatting>
  <conditionalFormatting sqref="E29">
    <cfRule type="expression" dxfId="1734" priority="1716">
      <formula>OR($Z29=2,$Z29=12,$Z29=123)</formula>
    </cfRule>
  </conditionalFormatting>
  <conditionalFormatting sqref="E31">
    <cfRule type="expression" dxfId="1733" priority="1715">
      <formula>$B31&lt;&gt;""</formula>
    </cfRule>
  </conditionalFormatting>
  <conditionalFormatting sqref="E31">
    <cfRule type="expression" dxfId="1732" priority="1714">
      <formula>OR($Z31=2,$Z31=12,$Z31=123)</formula>
    </cfRule>
  </conditionalFormatting>
  <conditionalFormatting sqref="D32:E32">
    <cfRule type="expression" dxfId="1731" priority="1713">
      <formula>$B32&lt;&gt;""</formula>
    </cfRule>
  </conditionalFormatting>
  <conditionalFormatting sqref="D32">
    <cfRule type="expression" dxfId="1730" priority="1712">
      <formula>OR($Z32=1,$Z32=12,$Z32=123)</formula>
    </cfRule>
  </conditionalFormatting>
  <conditionalFormatting sqref="E32">
    <cfRule type="expression" dxfId="1729" priority="1711">
      <formula>OR($Z32=2,$Z32=12,$Z32=123)</formula>
    </cfRule>
  </conditionalFormatting>
  <conditionalFormatting sqref="D34:E34">
    <cfRule type="expression" dxfId="1728" priority="1710">
      <formula>$B34&lt;&gt;""</formula>
    </cfRule>
  </conditionalFormatting>
  <conditionalFormatting sqref="D34">
    <cfRule type="expression" dxfId="1727" priority="1709">
      <formula>OR($Z34=1,$Z34=12,$Z34=123)</formula>
    </cfRule>
  </conditionalFormatting>
  <conditionalFormatting sqref="E34">
    <cfRule type="expression" dxfId="1726" priority="1708">
      <formula>OR($Z34=2,$Z34=12,$Z34=123)</formula>
    </cfRule>
  </conditionalFormatting>
  <conditionalFormatting sqref="D35:E35">
    <cfRule type="expression" dxfId="1725" priority="1707">
      <formula>$B35&lt;&gt;""</formula>
    </cfRule>
  </conditionalFormatting>
  <conditionalFormatting sqref="D35">
    <cfRule type="expression" dxfId="1724" priority="1706">
      <formula>OR($Z35=1,$Z35=12,$Z35=123)</formula>
    </cfRule>
  </conditionalFormatting>
  <conditionalFormatting sqref="E35">
    <cfRule type="expression" dxfId="1723" priority="1705">
      <formula>OR($Z35=2,$Z35=12,$Z35=123)</formula>
    </cfRule>
  </conditionalFormatting>
  <conditionalFormatting sqref="D37:E37">
    <cfRule type="expression" dxfId="1722" priority="1704">
      <formula>$B37&lt;&gt;""</formula>
    </cfRule>
  </conditionalFormatting>
  <conditionalFormatting sqref="D37">
    <cfRule type="expression" dxfId="1721" priority="1703">
      <formula>OR($Z37=1,$Z37=12,$Z37=123)</formula>
    </cfRule>
  </conditionalFormatting>
  <conditionalFormatting sqref="E37">
    <cfRule type="expression" dxfId="1720" priority="1702">
      <formula>OR($Z37=2,$Z37=12,$Z37=123)</formula>
    </cfRule>
  </conditionalFormatting>
  <conditionalFormatting sqref="D38:E38">
    <cfRule type="expression" dxfId="1719" priority="1701">
      <formula>$B38&lt;&gt;""</formula>
    </cfRule>
  </conditionalFormatting>
  <conditionalFormatting sqref="D38">
    <cfRule type="expression" dxfId="1718" priority="1700">
      <formula>OR($Z38=1,$Z38=12,$Z38=123)</formula>
    </cfRule>
  </conditionalFormatting>
  <conditionalFormatting sqref="E38">
    <cfRule type="expression" dxfId="1717" priority="1699">
      <formula>OR($Z38=2,$Z38=12,$Z38=123)</formula>
    </cfRule>
  </conditionalFormatting>
  <conditionalFormatting sqref="D39:E39">
    <cfRule type="expression" dxfId="1716" priority="1698">
      <formula>$B39&lt;&gt;""</formula>
    </cfRule>
  </conditionalFormatting>
  <conditionalFormatting sqref="D39">
    <cfRule type="expression" dxfId="1715" priority="1697">
      <formula>OR($Z39=1,$Z39=12,$Z39=123)</formula>
    </cfRule>
  </conditionalFormatting>
  <conditionalFormatting sqref="E39">
    <cfRule type="expression" dxfId="1714" priority="1696">
      <formula>OR($Z39=2,$Z39=12,$Z39=123)</formula>
    </cfRule>
  </conditionalFormatting>
  <conditionalFormatting sqref="D41:E41">
    <cfRule type="expression" dxfId="1713" priority="1695">
      <formula>$B41&lt;&gt;""</formula>
    </cfRule>
  </conditionalFormatting>
  <conditionalFormatting sqref="D41">
    <cfRule type="expression" dxfId="1712" priority="1694">
      <formula>OR($Z41=1,$Z41=12,$Z41=123)</formula>
    </cfRule>
  </conditionalFormatting>
  <conditionalFormatting sqref="E41">
    <cfRule type="expression" dxfId="1711" priority="1693">
      <formula>OR($Z41=2,$Z41=12,$Z41=123)</formula>
    </cfRule>
  </conditionalFormatting>
  <conditionalFormatting sqref="D42:E42">
    <cfRule type="expression" dxfId="1710" priority="1692">
      <formula>$B42&lt;&gt;""</formula>
    </cfRule>
  </conditionalFormatting>
  <conditionalFormatting sqref="D42">
    <cfRule type="expression" dxfId="1709" priority="1691">
      <formula>OR($Z42=1,$Z42=12,$Z42=123)</formula>
    </cfRule>
  </conditionalFormatting>
  <conditionalFormatting sqref="E42">
    <cfRule type="expression" dxfId="1708" priority="1690">
      <formula>OR($Z42=2,$Z42=12,$Z42=123)</formula>
    </cfRule>
  </conditionalFormatting>
  <conditionalFormatting sqref="D31">
    <cfRule type="expression" dxfId="1707" priority="1689">
      <formula>$B31&lt;&gt;""</formula>
    </cfRule>
  </conditionalFormatting>
  <conditionalFormatting sqref="D31">
    <cfRule type="expression" dxfId="1706" priority="1688">
      <formula>OR($Z31=1,$Z31=12,$Z31=123)</formula>
    </cfRule>
  </conditionalFormatting>
  <conditionalFormatting sqref="A27:H27">
    <cfRule type="expression" dxfId="1705" priority="1687">
      <formula>$B27&lt;&gt;""</formula>
    </cfRule>
  </conditionalFormatting>
  <conditionalFormatting sqref="D27">
    <cfRule type="expression" dxfId="1704" priority="1686">
      <formula>OR($Z27=1,$Z27=12,$Z27=123)</formula>
    </cfRule>
  </conditionalFormatting>
  <conditionalFormatting sqref="E27">
    <cfRule type="expression" dxfId="1703" priority="1685">
      <formula>OR($Z27=2,$Z27=12,$Z27=123)</formula>
    </cfRule>
  </conditionalFormatting>
  <conditionalFormatting sqref="D28:E28">
    <cfRule type="expression" dxfId="1702" priority="1684">
      <formula>$B28&lt;&gt;""</formula>
    </cfRule>
  </conditionalFormatting>
  <conditionalFormatting sqref="D28">
    <cfRule type="expression" dxfId="1701" priority="1683">
      <formula>OR($Z28=1,$Z28=12,$Z28=123)</formula>
    </cfRule>
  </conditionalFormatting>
  <conditionalFormatting sqref="E28">
    <cfRule type="expression" dxfId="1700" priority="1682">
      <formula>OR($Z28=2,$Z28=12,$Z28=123)</formula>
    </cfRule>
  </conditionalFormatting>
  <conditionalFormatting sqref="D31:E31">
    <cfRule type="expression" dxfId="1699" priority="1681">
      <formula>$B31&lt;&gt;""</formula>
    </cfRule>
  </conditionalFormatting>
  <conditionalFormatting sqref="D31">
    <cfRule type="expression" dxfId="1698" priority="1680">
      <formula>OR($Z31=1,$Z31=12,$Z31=123)</formula>
    </cfRule>
  </conditionalFormatting>
  <conditionalFormatting sqref="E31">
    <cfRule type="expression" dxfId="1697" priority="1679">
      <formula>OR($Z31=2,$Z31=12,$Z31=123)</formula>
    </cfRule>
  </conditionalFormatting>
  <conditionalFormatting sqref="D29:E29">
    <cfRule type="expression" dxfId="1696" priority="1678">
      <formula>$B29&lt;&gt;""</formula>
    </cfRule>
  </conditionalFormatting>
  <conditionalFormatting sqref="D29">
    <cfRule type="expression" dxfId="1695" priority="1677">
      <formula>OR($Z29=1,$Z29=12,$Z29=123)</formula>
    </cfRule>
  </conditionalFormatting>
  <conditionalFormatting sqref="E29">
    <cfRule type="expression" dxfId="1694" priority="1676">
      <formula>OR($Z29=2,$Z29=12,$Z29=123)</formula>
    </cfRule>
  </conditionalFormatting>
  <conditionalFormatting sqref="D30:E30">
    <cfRule type="expression" dxfId="1693" priority="1675">
      <formula>$B30&lt;&gt;""</formula>
    </cfRule>
  </conditionalFormatting>
  <conditionalFormatting sqref="D30">
    <cfRule type="expression" dxfId="1692" priority="1674">
      <formula>OR($Z30=1,$Z30=12,$Z30=123)</formula>
    </cfRule>
  </conditionalFormatting>
  <conditionalFormatting sqref="E30">
    <cfRule type="expression" dxfId="1691" priority="1673">
      <formula>OR($Z30=2,$Z30=12,$Z30=123)</formula>
    </cfRule>
  </conditionalFormatting>
  <conditionalFormatting sqref="E32">
    <cfRule type="expression" dxfId="1690" priority="1672">
      <formula>$B32&lt;&gt;""</formula>
    </cfRule>
  </conditionalFormatting>
  <conditionalFormatting sqref="E32">
    <cfRule type="expression" dxfId="1689" priority="1671">
      <formula>OR($Z32=2,$Z32=12,$Z32=123)</formula>
    </cfRule>
  </conditionalFormatting>
  <conditionalFormatting sqref="D33:E33">
    <cfRule type="expression" dxfId="1688" priority="1670">
      <formula>$B33&lt;&gt;""</formula>
    </cfRule>
  </conditionalFormatting>
  <conditionalFormatting sqref="D33">
    <cfRule type="expression" dxfId="1687" priority="1669">
      <formula>OR($Z33=1,$Z33=12,$Z33=123)</formula>
    </cfRule>
  </conditionalFormatting>
  <conditionalFormatting sqref="E33">
    <cfRule type="expression" dxfId="1686" priority="1668">
      <formula>OR($Z33=2,$Z33=12,$Z33=123)</formula>
    </cfRule>
  </conditionalFormatting>
  <conditionalFormatting sqref="D32">
    <cfRule type="expression" dxfId="1685" priority="1667">
      <formula>$B32&lt;&gt;""</formula>
    </cfRule>
  </conditionalFormatting>
  <conditionalFormatting sqref="D32">
    <cfRule type="expression" dxfId="1684" priority="1666">
      <formula>OR($Z32=1,$Z32=12,$Z32=123)</formula>
    </cfRule>
  </conditionalFormatting>
  <conditionalFormatting sqref="D27:E27">
    <cfRule type="expression" dxfId="1683" priority="1665">
      <formula>$B27&lt;&gt;""</formula>
    </cfRule>
  </conditionalFormatting>
  <conditionalFormatting sqref="D27">
    <cfRule type="expression" dxfId="1682" priority="1664">
      <formula>OR($Z27=1,$Z27=12,$Z27=123)</formula>
    </cfRule>
  </conditionalFormatting>
  <conditionalFormatting sqref="E27">
    <cfRule type="expression" dxfId="1681" priority="1663">
      <formula>OR($Z27=2,$Z27=12,$Z27=123)</formula>
    </cfRule>
  </conditionalFormatting>
  <conditionalFormatting sqref="D30:E30">
    <cfRule type="expression" dxfId="1680" priority="1662">
      <formula>$B30&lt;&gt;""</formula>
    </cfRule>
  </conditionalFormatting>
  <conditionalFormatting sqref="D30">
    <cfRule type="expression" dxfId="1679" priority="1661">
      <formula>OR($Z30=1,$Z30=12,$Z30=123)</formula>
    </cfRule>
  </conditionalFormatting>
  <conditionalFormatting sqref="E30">
    <cfRule type="expression" dxfId="1678" priority="1660">
      <formula>OR($Z30=2,$Z30=12,$Z30=123)</formula>
    </cfRule>
  </conditionalFormatting>
  <conditionalFormatting sqref="D28:E28">
    <cfRule type="expression" dxfId="1677" priority="1659">
      <formula>$B28&lt;&gt;""</formula>
    </cfRule>
  </conditionalFormatting>
  <conditionalFormatting sqref="D28">
    <cfRule type="expression" dxfId="1676" priority="1658">
      <formula>OR($Z28=1,$Z28=12,$Z28=123)</formula>
    </cfRule>
  </conditionalFormatting>
  <conditionalFormatting sqref="E28">
    <cfRule type="expression" dxfId="1675" priority="1657">
      <formula>OR($Z28=2,$Z28=12,$Z28=123)</formula>
    </cfRule>
  </conditionalFormatting>
  <conditionalFormatting sqref="D29:E29">
    <cfRule type="expression" dxfId="1674" priority="1656">
      <formula>$B29&lt;&gt;""</formula>
    </cfRule>
  </conditionalFormatting>
  <conditionalFormatting sqref="D29">
    <cfRule type="expression" dxfId="1673" priority="1655">
      <formula>OR($Z29=1,$Z29=12,$Z29=123)</formula>
    </cfRule>
  </conditionalFormatting>
  <conditionalFormatting sqref="E29">
    <cfRule type="expression" dxfId="1672" priority="1654">
      <formula>OR($Z29=2,$Z29=12,$Z29=123)</formula>
    </cfRule>
  </conditionalFormatting>
  <conditionalFormatting sqref="E31">
    <cfRule type="expression" dxfId="1671" priority="1653">
      <formula>$B31&lt;&gt;""</formula>
    </cfRule>
  </conditionalFormatting>
  <conditionalFormatting sqref="E31">
    <cfRule type="expression" dxfId="1670" priority="1652">
      <formula>OR($Z31=2,$Z31=12,$Z31=123)</formula>
    </cfRule>
  </conditionalFormatting>
  <conditionalFormatting sqref="D32:E32">
    <cfRule type="expression" dxfId="1669" priority="1651">
      <formula>$B32&lt;&gt;""</formula>
    </cfRule>
  </conditionalFormatting>
  <conditionalFormatting sqref="D32">
    <cfRule type="expression" dxfId="1668" priority="1650">
      <formula>OR($Z32=1,$Z32=12,$Z32=123)</formula>
    </cfRule>
  </conditionalFormatting>
  <conditionalFormatting sqref="E32">
    <cfRule type="expression" dxfId="1667" priority="1649">
      <formula>OR($Z32=2,$Z32=12,$Z32=123)</formula>
    </cfRule>
  </conditionalFormatting>
  <conditionalFormatting sqref="D34:E34">
    <cfRule type="expression" dxfId="1666" priority="1648">
      <formula>$B34&lt;&gt;""</formula>
    </cfRule>
  </conditionalFormatting>
  <conditionalFormatting sqref="D34">
    <cfRule type="expression" dxfId="1665" priority="1647">
      <formula>OR($Z34=1,$Z34=12,$Z34=123)</formula>
    </cfRule>
  </conditionalFormatting>
  <conditionalFormatting sqref="E34">
    <cfRule type="expression" dxfId="1664" priority="1646">
      <formula>OR($Z34=2,$Z34=12,$Z34=123)</formula>
    </cfRule>
  </conditionalFormatting>
  <conditionalFormatting sqref="D35:E35">
    <cfRule type="expression" dxfId="1663" priority="1645">
      <formula>$B35&lt;&gt;""</formula>
    </cfRule>
  </conditionalFormatting>
  <conditionalFormatting sqref="D35">
    <cfRule type="expression" dxfId="1662" priority="1644">
      <formula>OR($Z35=1,$Z35=12,$Z35=123)</formula>
    </cfRule>
  </conditionalFormatting>
  <conditionalFormatting sqref="E35">
    <cfRule type="expression" dxfId="1661" priority="1643">
      <formula>OR($Z35=2,$Z35=12,$Z35=123)</formula>
    </cfRule>
  </conditionalFormatting>
  <conditionalFormatting sqref="D37:E37">
    <cfRule type="expression" dxfId="1660" priority="1642">
      <formula>$B37&lt;&gt;""</formula>
    </cfRule>
  </conditionalFormatting>
  <conditionalFormatting sqref="D37">
    <cfRule type="expression" dxfId="1659" priority="1641">
      <formula>OR($Z37=1,$Z37=12,$Z37=123)</formula>
    </cfRule>
  </conditionalFormatting>
  <conditionalFormatting sqref="E37">
    <cfRule type="expression" dxfId="1658" priority="1640">
      <formula>OR($Z37=2,$Z37=12,$Z37=123)</formula>
    </cfRule>
  </conditionalFormatting>
  <conditionalFormatting sqref="D38:E38">
    <cfRule type="expression" dxfId="1657" priority="1639">
      <formula>$B38&lt;&gt;""</formula>
    </cfRule>
  </conditionalFormatting>
  <conditionalFormatting sqref="D38">
    <cfRule type="expression" dxfId="1656" priority="1638">
      <formula>OR($Z38=1,$Z38=12,$Z38=123)</formula>
    </cfRule>
  </conditionalFormatting>
  <conditionalFormatting sqref="E38">
    <cfRule type="expression" dxfId="1655" priority="1637">
      <formula>OR($Z38=2,$Z38=12,$Z38=123)</formula>
    </cfRule>
  </conditionalFormatting>
  <conditionalFormatting sqref="D39:E39">
    <cfRule type="expression" dxfId="1654" priority="1636">
      <formula>$B39&lt;&gt;""</formula>
    </cfRule>
  </conditionalFormatting>
  <conditionalFormatting sqref="D39">
    <cfRule type="expression" dxfId="1653" priority="1635">
      <formula>OR($Z39=1,$Z39=12,$Z39=123)</formula>
    </cfRule>
  </conditionalFormatting>
  <conditionalFormatting sqref="E39">
    <cfRule type="expression" dxfId="1652" priority="1634">
      <formula>OR($Z39=2,$Z39=12,$Z39=123)</formula>
    </cfRule>
  </conditionalFormatting>
  <conditionalFormatting sqref="D41:E41">
    <cfRule type="expression" dxfId="1651" priority="1633">
      <formula>$B41&lt;&gt;""</formula>
    </cfRule>
  </conditionalFormatting>
  <conditionalFormatting sqref="D41">
    <cfRule type="expression" dxfId="1650" priority="1632">
      <formula>OR($Z41=1,$Z41=12,$Z41=123)</formula>
    </cfRule>
  </conditionalFormatting>
  <conditionalFormatting sqref="E41">
    <cfRule type="expression" dxfId="1649" priority="1631">
      <formula>OR($Z41=2,$Z41=12,$Z41=123)</formula>
    </cfRule>
  </conditionalFormatting>
  <conditionalFormatting sqref="D42:E42">
    <cfRule type="expression" dxfId="1648" priority="1630">
      <formula>$B42&lt;&gt;""</formula>
    </cfRule>
  </conditionalFormatting>
  <conditionalFormatting sqref="D42">
    <cfRule type="expression" dxfId="1647" priority="1629">
      <formula>OR($Z42=1,$Z42=12,$Z42=123)</formula>
    </cfRule>
  </conditionalFormatting>
  <conditionalFormatting sqref="E42">
    <cfRule type="expression" dxfId="1646" priority="1628">
      <formula>OR($Z42=2,$Z42=12,$Z42=123)</formula>
    </cfRule>
  </conditionalFormatting>
  <conditionalFormatting sqref="D31">
    <cfRule type="expression" dxfId="1645" priority="1627">
      <formula>$B31&lt;&gt;""</formula>
    </cfRule>
  </conditionalFormatting>
  <conditionalFormatting sqref="D31">
    <cfRule type="expression" dxfId="1644" priority="1626">
      <formula>OR($Z31=1,$Z31=12,$Z31=123)</formula>
    </cfRule>
  </conditionalFormatting>
  <conditionalFormatting sqref="A27:H27">
    <cfRule type="expression" dxfId="1643" priority="1625">
      <formula>$B27&lt;&gt;""</formula>
    </cfRule>
  </conditionalFormatting>
  <conditionalFormatting sqref="D27">
    <cfRule type="expression" dxfId="1642" priority="1624">
      <formula>OR($Z27=1,$Z27=12,$Z27=123)</formula>
    </cfRule>
  </conditionalFormatting>
  <conditionalFormatting sqref="E27">
    <cfRule type="expression" dxfId="1641" priority="1623">
      <formula>OR($Z27=2,$Z27=12,$Z27=123)</formula>
    </cfRule>
  </conditionalFormatting>
  <conditionalFormatting sqref="D28:E28">
    <cfRule type="expression" dxfId="1640" priority="1622">
      <formula>$B28&lt;&gt;""</formula>
    </cfRule>
  </conditionalFormatting>
  <conditionalFormatting sqref="D28">
    <cfRule type="expression" dxfId="1639" priority="1621">
      <formula>OR($Z28=1,$Z28=12,$Z28=123)</formula>
    </cfRule>
  </conditionalFormatting>
  <conditionalFormatting sqref="E28">
    <cfRule type="expression" dxfId="1638" priority="1620">
      <formula>OR($Z28=2,$Z28=12,$Z28=123)</formula>
    </cfRule>
  </conditionalFormatting>
  <conditionalFormatting sqref="D31:E31">
    <cfRule type="expression" dxfId="1637" priority="1619">
      <formula>$B31&lt;&gt;""</formula>
    </cfRule>
  </conditionalFormatting>
  <conditionalFormatting sqref="D31">
    <cfRule type="expression" dxfId="1636" priority="1618">
      <formula>OR($Z31=1,$Z31=12,$Z31=123)</formula>
    </cfRule>
  </conditionalFormatting>
  <conditionalFormatting sqref="E31">
    <cfRule type="expression" dxfId="1635" priority="1617">
      <formula>OR($Z31=2,$Z31=12,$Z31=123)</formula>
    </cfRule>
  </conditionalFormatting>
  <conditionalFormatting sqref="D29:E29">
    <cfRule type="expression" dxfId="1634" priority="1616">
      <formula>$B29&lt;&gt;""</formula>
    </cfRule>
  </conditionalFormatting>
  <conditionalFormatting sqref="D29">
    <cfRule type="expression" dxfId="1633" priority="1615">
      <formula>OR($Z29=1,$Z29=12,$Z29=123)</formula>
    </cfRule>
  </conditionalFormatting>
  <conditionalFormatting sqref="E29">
    <cfRule type="expression" dxfId="1632" priority="1614">
      <formula>OR($Z29=2,$Z29=12,$Z29=123)</formula>
    </cfRule>
  </conditionalFormatting>
  <conditionalFormatting sqref="D30:E30">
    <cfRule type="expression" dxfId="1631" priority="1613">
      <formula>$B30&lt;&gt;""</formula>
    </cfRule>
  </conditionalFormatting>
  <conditionalFormatting sqref="D30">
    <cfRule type="expression" dxfId="1630" priority="1612">
      <formula>OR($Z30=1,$Z30=12,$Z30=123)</formula>
    </cfRule>
  </conditionalFormatting>
  <conditionalFormatting sqref="E30">
    <cfRule type="expression" dxfId="1629" priority="1611">
      <formula>OR($Z30=2,$Z30=12,$Z30=123)</formula>
    </cfRule>
  </conditionalFormatting>
  <conditionalFormatting sqref="E32">
    <cfRule type="expression" dxfId="1628" priority="1610">
      <formula>$B32&lt;&gt;""</formula>
    </cfRule>
  </conditionalFormatting>
  <conditionalFormatting sqref="E32">
    <cfRule type="expression" dxfId="1627" priority="1609">
      <formula>OR($Z32=2,$Z32=12,$Z32=123)</formula>
    </cfRule>
  </conditionalFormatting>
  <conditionalFormatting sqref="D33:E33">
    <cfRule type="expression" dxfId="1626" priority="1608">
      <formula>$B33&lt;&gt;""</formula>
    </cfRule>
  </conditionalFormatting>
  <conditionalFormatting sqref="D33">
    <cfRule type="expression" dxfId="1625" priority="1607">
      <formula>OR($Z33=1,$Z33=12,$Z33=123)</formula>
    </cfRule>
  </conditionalFormatting>
  <conditionalFormatting sqref="E33">
    <cfRule type="expression" dxfId="1624" priority="1606">
      <formula>OR($Z33=2,$Z33=12,$Z33=123)</formula>
    </cfRule>
  </conditionalFormatting>
  <conditionalFormatting sqref="D32">
    <cfRule type="expression" dxfId="1623" priority="1605">
      <formula>$B32&lt;&gt;""</formula>
    </cfRule>
  </conditionalFormatting>
  <conditionalFormatting sqref="D32">
    <cfRule type="expression" dxfId="1622" priority="1604">
      <formula>OR($Z32=1,$Z32=12,$Z32=123)</formula>
    </cfRule>
  </conditionalFormatting>
  <conditionalFormatting sqref="A27:H27">
    <cfRule type="expression" dxfId="1621" priority="1603">
      <formula>$B27&lt;&gt;""</formula>
    </cfRule>
  </conditionalFormatting>
  <conditionalFormatting sqref="D27">
    <cfRule type="expression" dxfId="1620" priority="1602">
      <formula>OR($Z27=1,$Z27=12,$Z27=123)</formula>
    </cfRule>
  </conditionalFormatting>
  <conditionalFormatting sqref="E27">
    <cfRule type="expression" dxfId="1619" priority="1601">
      <formula>OR($Z27=2,$Z27=12,$Z27=123)</formula>
    </cfRule>
  </conditionalFormatting>
  <conditionalFormatting sqref="D28:E28">
    <cfRule type="expression" dxfId="1618" priority="1600">
      <formula>$B28&lt;&gt;""</formula>
    </cfRule>
  </conditionalFormatting>
  <conditionalFormatting sqref="D28">
    <cfRule type="expression" dxfId="1617" priority="1599">
      <formula>OR($Z28=1,$Z28=12,$Z28=123)</formula>
    </cfRule>
  </conditionalFormatting>
  <conditionalFormatting sqref="E28">
    <cfRule type="expression" dxfId="1616" priority="1598">
      <formula>OR($Z28=2,$Z28=12,$Z28=123)</formula>
    </cfRule>
  </conditionalFormatting>
  <conditionalFormatting sqref="D31:E31">
    <cfRule type="expression" dxfId="1615" priority="1597">
      <formula>$B31&lt;&gt;""</formula>
    </cfRule>
  </conditionalFormatting>
  <conditionalFormatting sqref="D31">
    <cfRule type="expression" dxfId="1614" priority="1596">
      <formula>OR($Z31=1,$Z31=12,$Z31=123)</formula>
    </cfRule>
  </conditionalFormatting>
  <conditionalFormatting sqref="E31">
    <cfRule type="expression" dxfId="1613" priority="1595">
      <formula>OR($Z31=2,$Z31=12,$Z31=123)</formula>
    </cfRule>
  </conditionalFormatting>
  <conditionalFormatting sqref="D29:E29">
    <cfRule type="expression" dxfId="1612" priority="1594">
      <formula>$B29&lt;&gt;""</formula>
    </cfRule>
  </conditionalFormatting>
  <conditionalFormatting sqref="D29">
    <cfRule type="expression" dxfId="1611" priority="1593">
      <formula>OR($Z29=1,$Z29=12,$Z29=123)</formula>
    </cfRule>
  </conditionalFormatting>
  <conditionalFormatting sqref="E29">
    <cfRule type="expression" dxfId="1610" priority="1592">
      <formula>OR($Z29=2,$Z29=12,$Z29=123)</formula>
    </cfRule>
  </conditionalFormatting>
  <conditionalFormatting sqref="D30:E30">
    <cfRule type="expression" dxfId="1609" priority="1591">
      <formula>$B30&lt;&gt;""</formula>
    </cfRule>
  </conditionalFormatting>
  <conditionalFormatting sqref="D30">
    <cfRule type="expression" dxfId="1608" priority="1590">
      <formula>OR($Z30=1,$Z30=12,$Z30=123)</formula>
    </cfRule>
  </conditionalFormatting>
  <conditionalFormatting sqref="E30">
    <cfRule type="expression" dxfId="1607" priority="1589">
      <formula>OR($Z30=2,$Z30=12,$Z30=123)</formula>
    </cfRule>
  </conditionalFormatting>
  <conditionalFormatting sqref="E32">
    <cfRule type="expression" dxfId="1606" priority="1588">
      <formula>$B32&lt;&gt;""</formula>
    </cfRule>
  </conditionalFormatting>
  <conditionalFormatting sqref="E32">
    <cfRule type="expression" dxfId="1605" priority="1587">
      <formula>OR($Z32=2,$Z32=12,$Z32=123)</formula>
    </cfRule>
  </conditionalFormatting>
  <conditionalFormatting sqref="D33:E33">
    <cfRule type="expression" dxfId="1604" priority="1586">
      <formula>$B33&lt;&gt;""</formula>
    </cfRule>
  </conditionalFormatting>
  <conditionalFormatting sqref="D33">
    <cfRule type="expression" dxfId="1603" priority="1585">
      <formula>OR($Z33=1,$Z33=12,$Z33=123)</formula>
    </cfRule>
  </conditionalFormatting>
  <conditionalFormatting sqref="E33">
    <cfRule type="expression" dxfId="1602" priority="1584">
      <formula>OR($Z33=2,$Z33=12,$Z33=123)</formula>
    </cfRule>
  </conditionalFormatting>
  <conditionalFormatting sqref="D35:E35">
    <cfRule type="expression" dxfId="1601" priority="1583">
      <formula>$B35&lt;&gt;""</formula>
    </cfRule>
  </conditionalFormatting>
  <conditionalFormatting sqref="D35">
    <cfRule type="expression" dxfId="1600" priority="1582">
      <formula>OR($Z35=1,$Z35=12,$Z35=123)</formula>
    </cfRule>
  </conditionalFormatting>
  <conditionalFormatting sqref="E35">
    <cfRule type="expression" dxfId="1599" priority="1581">
      <formula>OR($Z35=2,$Z35=12,$Z35=123)</formula>
    </cfRule>
  </conditionalFormatting>
  <conditionalFormatting sqref="D36:E36">
    <cfRule type="expression" dxfId="1598" priority="1580">
      <formula>$B36&lt;&gt;""</formula>
    </cfRule>
  </conditionalFormatting>
  <conditionalFormatting sqref="D36">
    <cfRule type="expression" dxfId="1597" priority="1579">
      <formula>OR($Z36=1,$Z36=12,$Z36=123)</formula>
    </cfRule>
  </conditionalFormatting>
  <conditionalFormatting sqref="E36">
    <cfRule type="expression" dxfId="1596" priority="1578">
      <formula>OR($Z36=2,$Z36=12,$Z36=123)</formula>
    </cfRule>
  </conditionalFormatting>
  <conditionalFormatting sqref="D38:E38">
    <cfRule type="expression" dxfId="1595" priority="1577">
      <formula>$B38&lt;&gt;""</formula>
    </cfRule>
  </conditionalFormatting>
  <conditionalFormatting sqref="D38">
    <cfRule type="expression" dxfId="1594" priority="1576">
      <formula>OR($Z38=1,$Z38=12,$Z38=123)</formula>
    </cfRule>
  </conditionalFormatting>
  <conditionalFormatting sqref="E38">
    <cfRule type="expression" dxfId="1593" priority="1575">
      <formula>OR($Z38=2,$Z38=12,$Z38=123)</formula>
    </cfRule>
  </conditionalFormatting>
  <conditionalFormatting sqref="D39:E39">
    <cfRule type="expression" dxfId="1592" priority="1574">
      <formula>$B39&lt;&gt;""</formula>
    </cfRule>
  </conditionalFormatting>
  <conditionalFormatting sqref="D39">
    <cfRule type="expression" dxfId="1591" priority="1573">
      <formula>OR($Z39=1,$Z39=12,$Z39=123)</formula>
    </cfRule>
  </conditionalFormatting>
  <conditionalFormatting sqref="E39">
    <cfRule type="expression" dxfId="1590" priority="1572">
      <formula>OR($Z39=2,$Z39=12,$Z39=123)</formula>
    </cfRule>
  </conditionalFormatting>
  <conditionalFormatting sqref="D40:E40">
    <cfRule type="expression" dxfId="1589" priority="1571">
      <formula>$B40&lt;&gt;""</formula>
    </cfRule>
  </conditionalFormatting>
  <conditionalFormatting sqref="D40">
    <cfRule type="expression" dxfId="1588" priority="1570">
      <formula>OR($Z40=1,$Z40=12,$Z40=123)</formula>
    </cfRule>
  </conditionalFormatting>
  <conditionalFormatting sqref="E40">
    <cfRule type="expression" dxfId="1587" priority="1569">
      <formula>OR($Z40=2,$Z40=12,$Z40=123)</formula>
    </cfRule>
  </conditionalFormatting>
  <conditionalFormatting sqref="D42:E42">
    <cfRule type="expression" dxfId="1586" priority="1568">
      <formula>$B42&lt;&gt;""</formula>
    </cfRule>
  </conditionalFormatting>
  <conditionalFormatting sqref="D42">
    <cfRule type="expression" dxfId="1585" priority="1567">
      <formula>OR($Z42=1,$Z42=12,$Z42=123)</formula>
    </cfRule>
  </conditionalFormatting>
  <conditionalFormatting sqref="E42">
    <cfRule type="expression" dxfId="1584" priority="1566">
      <formula>OR($Z42=2,$Z42=12,$Z42=123)</formula>
    </cfRule>
  </conditionalFormatting>
  <conditionalFormatting sqref="D43:E43">
    <cfRule type="expression" dxfId="1583" priority="1565">
      <formula>$B43&lt;&gt;""</formula>
    </cfRule>
  </conditionalFormatting>
  <conditionalFormatting sqref="D43">
    <cfRule type="expression" dxfId="1582" priority="1564">
      <formula>OR($Z43=1,$Z43=12,$Z43=123)</formula>
    </cfRule>
  </conditionalFormatting>
  <conditionalFormatting sqref="E43">
    <cfRule type="expression" dxfId="1581" priority="1563">
      <formula>OR($Z43=2,$Z43=12,$Z43=123)</formula>
    </cfRule>
  </conditionalFormatting>
  <conditionalFormatting sqref="D32">
    <cfRule type="expression" dxfId="1580" priority="1562">
      <formula>$B32&lt;&gt;""</formula>
    </cfRule>
  </conditionalFormatting>
  <conditionalFormatting sqref="D32">
    <cfRule type="expression" dxfId="1579" priority="1561">
      <formula>OR($Z32=1,$Z32=12,$Z32=123)</formula>
    </cfRule>
  </conditionalFormatting>
  <conditionalFormatting sqref="A28:H28">
    <cfRule type="expression" dxfId="1578" priority="1560">
      <formula>$B28&lt;&gt;""</formula>
    </cfRule>
  </conditionalFormatting>
  <conditionalFormatting sqref="D28">
    <cfRule type="expression" dxfId="1577" priority="1559">
      <formula>OR($Z28=1,$Z28=12,$Z28=123)</formula>
    </cfRule>
  </conditionalFormatting>
  <conditionalFormatting sqref="E28">
    <cfRule type="expression" dxfId="1576" priority="1558">
      <formula>OR($Z28=2,$Z28=12,$Z28=123)</formula>
    </cfRule>
  </conditionalFormatting>
  <conditionalFormatting sqref="D29:E29">
    <cfRule type="expression" dxfId="1575" priority="1557">
      <formula>$B29&lt;&gt;""</formula>
    </cfRule>
  </conditionalFormatting>
  <conditionalFormatting sqref="D29">
    <cfRule type="expression" dxfId="1574" priority="1556">
      <formula>OR($Z29=1,$Z29=12,$Z29=123)</formula>
    </cfRule>
  </conditionalFormatting>
  <conditionalFormatting sqref="E29">
    <cfRule type="expression" dxfId="1573" priority="1555">
      <formula>OR($Z29=2,$Z29=12,$Z29=123)</formula>
    </cfRule>
  </conditionalFormatting>
  <conditionalFormatting sqref="D32:E32">
    <cfRule type="expression" dxfId="1572" priority="1554">
      <formula>$B32&lt;&gt;""</formula>
    </cfRule>
  </conditionalFormatting>
  <conditionalFormatting sqref="D32">
    <cfRule type="expression" dxfId="1571" priority="1553">
      <formula>OR($Z32=1,$Z32=12,$Z32=123)</formula>
    </cfRule>
  </conditionalFormatting>
  <conditionalFormatting sqref="E32">
    <cfRule type="expression" dxfId="1570" priority="1552">
      <formula>OR($Z32=2,$Z32=12,$Z32=123)</formula>
    </cfRule>
  </conditionalFormatting>
  <conditionalFormatting sqref="D30:E30">
    <cfRule type="expression" dxfId="1569" priority="1551">
      <formula>$B30&lt;&gt;""</formula>
    </cfRule>
  </conditionalFormatting>
  <conditionalFormatting sqref="D30">
    <cfRule type="expression" dxfId="1568" priority="1550">
      <formula>OR($Z30=1,$Z30=12,$Z30=123)</formula>
    </cfRule>
  </conditionalFormatting>
  <conditionalFormatting sqref="E30">
    <cfRule type="expression" dxfId="1567" priority="1549">
      <formula>OR($Z30=2,$Z30=12,$Z30=123)</formula>
    </cfRule>
  </conditionalFormatting>
  <conditionalFormatting sqref="D31:E31">
    <cfRule type="expression" dxfId="1566" priority="1548">
      <formula>$B31&lt;&gt;""</formula>
    </cfRule>
  </conditionalFormatting>
  <conditionalFormatting sqref="D31">
    <cfRule type="expression" dxfId="1565" priority="1547">
      <formula>OR($Z31=1,$Z31=12,$Z31=123)</formula>
    </cfRule>
  </conditionalFormatting>
  <conditionalFormatting sqref="E31">
    <cfRule type="expression" dxfId="1564" priority="1546">
      <formula>OR($Z31=2,$Z31=12,$Z31=123)</formula>
    </cfRule>
  </conditionalFormatting>
  <conditionalFormatting sqref="E33">
    <cfRule type="expression" dxfId="1563" priority="1545">
      <formula>$B33&lt;&gt;""</formula>
    </cfRule>
  </conditionalFormatting>
  <conditionalFormatting sqref="E33">
    <cfRule type="expression" dxfId="1562" priority="1544">
      <formula>OR($Z33=2,$Z33=12,$Z33=123)</formula>
    </cfRule>
  </conditionalFormatting>
  <conditionalFormatting sqref="D34:E34">
    <cfRule type="expression" dxfId="1561" priority="1543">
      <formula>$B34&lt;&gt;""</formula>
    </cfRule>
  </conditionalFormatting>
  <conditionalFormatting sqref="D34">
    <cfRule type="expression" dxfId="1560" priority="1542">
      <formula>OR($Z34=1,$Z34=12,$Z34=123)</formula>
    </cfRule>
  </conditionalFormatting>
  <conditionalFormatting sqref="E34">
    <cfRule type="expression" dxfId="1559" priority="1541">
      <formula>OR($Z34=2,$Z34=12,$Z34=123)</formula>
    </cfRule>
  </conditionalFormatting>
  <conditionalFormatting sqref="D33">
    <cfRule type="expression" dxfId="1558" priority="1540">
      <formula>$B33&lt;&gt;""</formula>
    </cfRule>
  </conditionalFormatting>
  <conditionalFormatting sqref="D33">
    <cfRule type="expression" dxfId="1557" priority="1539">
      <formula>OR($Z33=1,$Z33=12,$Z33=123)</formula>
    </cfRule>
  </conditionalFormatting>
  <conditionalFormatting sqref="D32:E32">
    <cfRule type="expression" dxfId="1556" priority="1538">
      <formula>$B32&lt;&gt;""</formula>
    </cfRule>
  </conditionalFormatting>
  <conditionalFormatting sqref="D32">
    <cfRule type="expression" dxfId="1555" priority="1537">
      <formula>OR($Z32=1,$Z32=12,$Z32=123)</formula>
    </cfRule>
  </conditionalFormatting>
  <conditionalFormatting sqref="E32">
    <cfRule type="expression" dxfId="1554" priority="1536">
      <formula>OR($Z32=2,$Z32=12,$Z32=123)</formula>
    </cfRule>
  </conditionalFormatting>
  <conditionalFormatting sqref="D33:E33">
    <cfRule type="expression" dxfId="1553" priority="1535">
      <formula>$B33&lt;&gt;""</formula>
    </cfRule>
  </conditionalFormatting>
  <conditionalFormatting sqref="D33">
    <cfRule type="expression" dxfId="1552" priority="1534">
      <formula>OR($Z33=1,$Z33=12,$Z33=123)</formula>
    </cfRule>
  </conditionalFormatting>
  <conditionalFormatting sqref="E33">
    <cfRule type="expression" dxfId="1551" priority="1533">
      <formula>OR($Z33=2,$Z33=12,$Z33=123)</formula>
    </cfRule>
  </conditionalFormatting>
  <conditionalFormatting sqref="D35:E35">
    <cfRule type="expression" dxfId="1550" priority="1532">
      <formula>$B35&lt;&gt;""</formula>
    </cfRule>
  </conditionalFormatting>
  <conditionalFormatting sqref="D35">
    <cfRule type="expression" dxfId="1549" priority="1531">
      <formula>OR($Z35=1,$Z35=12,$Z35=123)</formula>
    </cfRule>
  </conditionalFormatting>
  <conditionalFormatting sqref="E35">
    <cfRule type="expression" dxfId="1548" priority="1530">
      <formula>OR($Z35=2,$Z35=12,$Z35=123)</formula>
    </cfRule>
  </conditionalFormatting>
  <conditionalFormatting sqref="D36:E36">
    <cfRule type="expression" dxfId="1547" priority="1529">
      <formula>$B36&lt;&gt;""</formula>
    </cfRule>
  </conditionalFormatting>
  <conditionalFormatting sqref="D36">
    <cfRule type="expression" dxfId="1546" priority="1528">
      <formula>OR($Z36=1,$Z36=12,$Z36=123)</formula>
    </cfRule>
  </conditionalFormatting>
  <conditionalFormatting sqref="E36">
    <cfRule type="expression" dxfId="1545" priority="1527">
      <formula>OR($Z36=2,$Z36=12,$Z36=123)</formula>
    </cfRule>
  </conditionalFormatting>
  <conditionalFormatting sqref="D37:E37">
    <cfRule type="expression" dxfId="1544" priority="1526">
      <formula>$B37&lt;&gt;""</formula>
    </cfRule>
  </conditionalFormatting>
  <conditionalFormatting sqref="D37">
    <cfRule type="expression" dxfId="1543" priority="1525">
      <formula>OR($Z37=1,$Z37=12,$Z37=123)</formula>
    </cfRule>
  </conditionalFormatting>
  <conditionalFormatting sqref="E37">
    <cfRule type="expression" dxfId="1542" priority="1524">
      <formula>OR($Z37=2,$Z37=12,$Z37=123)</formula>
    </cfRule>
  </conditionalFormatting>
  <conditionalFormatting sqref="D39:E39">
    <cfRule type="expression" dxfId="1541" priority="1523">
      <formula>$B39&lt;&gt;""</formula>
    </cfRule>
  </conditionalFormatting>
  <conditionalFormatting sqref="D39">
    <cfRule type="expression" dxfId="1540" priority="1522">
      <formula>OR($Z39=1,$Z39=12,$Z39=123)</formula>
    </cfRule>
  </conditionalFormatting>
  <conditionalFormatting sqref="E39">
    <cfRule type="expression" dxfId="1539" priority="1521">
      <formula>OR($Z39=2,$Z39=12,$Z39=123)</formula>
    </cfRule>
  </conditionalFormatting>
  <conditionalFormatting sqref="D40:E40">
    <cfRule type="expression" dxfId="1538" priority="1520">
      <formula>$B40&lt;&gt;""</formula>
    </cfRule>
  </conditionalFormatting>
  <conditionalFormatting sqref="D40">
    <cfRule type="expression" dxfId="1537" priority="1519">
      <formula>OR($Z40=1,$Z40=12,$Z40=123)</formula>
    </cfRule>
  </conditionalFormatting>
  <conditionalFormatting sqref="E40">
    <cfRule type="expression" dxfId="1536" priority="1518">
      <formula>OR($Z40=2,$Z40=12,$Z40=123)</formula>
    </cfRule>
  </conditionalFormatting>
  <conditionalFormatting sqref="D42:E42">
    <cfRule type="expression" dxfId="1535" priority="1517">
      <formula>$B42&lt;&gt;""</formula>
    </cfRule>
  </conditionalFormatting>
  <conditionalFormatting sqref="D42">
    <cfRule type="expression" dxfId="1534" priority="1516">
      <formula>OR($Z42=1,$Z42=12,$Z42=123)</formula>
    </cfRule>
  </conditionalFormatting>
  <conditionalFormatting sqref="E42">
    <cfRule type="expression" dxfId="1533" priority="1515">
      <formula>OR($Z42=2,$Z42=12,$Z42=123)</formula>
    </cfRule>
  </conditionalFormatting>
  <conditionalFormatting sqref="D33:E33">
    <cfRule type="expression" dxfId="1532" priority="1514">
      <formula>$B33&lt;&gt;""</formula>
    </cfRule>
  </conditionalFormatting>
  <conditionalFormatting sqref="D33">
    <cfRule type="expression" dxfId="1531" priority="1513">
      <formula>OR($Z33=1,$Z33=12,$Z33=123)</formula>
    </cfRule>
  </conditionalFormatting>
  <conditionalFormatting sqref="E33">
    <cfRule type="expression" dxfId="1530" priority="1512">
      <formula>OR($Z33=2,$Z33=12,$Z33=123)</formula>
    </cfRule>
  </conditionalFormatting>
  <conditionalFormatting sqref="D34:E34">
    <cfRule type="expression" dxfId="1529" priority="1511">
      <formula>$B34&lt;&gt;""</formula>
    </cfRule>
  </conditionalFormatting>
  <conditionalFormatting sqref="D34">
    <cfRule type="expression" dxfId="1528" priority="1510">
      <formula>OR($Z34=1,$Z34=12,$Z34=123)</formula>
    </cfRule>
  </conditionalFormatting>
  <conditionalFormatting sqref="E34">
    <cfRule type="expression" dxfId="1527" priority="1509">
      <formula>OR($Z34=2,$Z34=12,$Z34=123)</formula>
    </cfRule>
  </conditionalFormatting>
  <conditionalFormatting sqref="D36:E36">
    <cfRule type="expression" dxfId="1526" priority="1508">
      <formula>$B36&lt;&gt;""</formula>
    </cfRule>
  </conditionalFormatting>
  <conditionalFormatting sqref="D36">
    <cfRule type="expression" dxfId="1525" priority="1507">
      <formula>OR($Z36=1,$Z36=12,$Z36=123)</formula>
    </cfRule>
  </conditionalFormatting>
  <conditionalFormatting sqref="E36">
    <cfRule type="expression" dxfId="1524" priority="1506">
      <formula>OR($Z36=2,$Z36=12,$Z36=123)</formula>
    </cfRule>
  </conditionalFormatting>
  <conditionalFormatting sqref="D37:E37">
    <cfRule type="expression" dxfId="1523" priority="1505">
      <formula>$B37&lt;&gt;""</formula>
    </cfRule>
  </conditionalFormatting>
  <conditionalFormatting sqref="D37">
    <cfRule type="expression" dxfId="1522" priority="1504">
      <formula>OR($Z37=1,$Z37=12,$Z37=123)</formula>
    </cfRule>
  </conditionalFormatting>
  <conditionalFormatting sqref="E37">
    <cfRule type="expression" dxfId="1521" priority="1503">
      <formula>OR($Z37=2,$Z37=12,$Z37=123)</formula>
    </cfRule>
  </conditionalFormatting>
  <conditionalFormatting sqref="D38:E38">
    <cfRule type="expression" dxfId="1520" priority="1502">
      <formula>$B38&lt;&gt;""</formula>
    </cfRule>
  </conditionalFormatting>
  <conditionalFormatting sqref="D38">
    <cfRule type="expression" dxfId="1519" priority="1501">
      <formula>OR($Z38=1,$Z38=12,$Z38=123)</formula>
    </cfRule>
  </conditionalFormatting>
  <conditionalFormatting sqref="E38">
    <cfRule type="expression" dxfId="1518" priority="1500">
      <formula>OR($Z38=2,$Z38=12,$Z38=123)</formula>
    </cfRule>
  </conditionalFormatting>
  <conditionalFormatting sqref="D40:E40">
    <cfRule type="expression" dxfId="1517" priority="1499">
      <formula>$B40&lt;&gt;""</formula>
    </cfRule>
  </conditionalFormatting>
  <conditionalFormatting sqref="D40">
    <cfRule type="expression" dxfId="1516" priority="1498">
      <formula>OR($Z40=1,$Z40=12,$Z40=123)</formula>
    </cfRule>
  </conditionalFormatting>
  <conditionalFormatting sqref="E40">
    <cfRule type="expression" dxfId="1515" priority="1497">
      <formula>OR($Z40=2,$Z40=12,$Z40=123)</formula>
    </cfRule>
  </conditionalFormatting>
  <conditionalFormatting sqref="D41:E41">
    <cfRule type="expression" dxfId="1514" priority="1496">
      <formula>$B41&lt;&gt;""</formula>
    </cfRule>
  </conditionalFormatting>
  <conditionalFormatting sqref="D41">
    <cfRule type="expression" dxfId="1513" priority="1495">
      <formula>OR($Z41=1,$Z41=12,$Z41=123)</formula>
    </cfRule>
  </conditionalFormatting>
  <conditionalFormatting sqref="E41">
    <cfRule type="expression" dxfId="1512" priority="1494">
      <formula>OR($Z41=2,$Z41=12,$Z41=123)</formula>
    </cfRule>
  </conditionalFormatting>
  <conditionalFormatting sqref="D32:E32">
    <cfRule type="expression" dxfId="1511" priority="1493">
      <formula>$B32&lt;&gt;""</formula>
    </cfRule>
  </conditionalFormatting>
  <conditionalFormatting sqref="D32">
    <cfRule type="expression" dxfId="1510" priority="1492">
      <formula>OR($Z32=1,$Z32=12,$Z32=123)</formula>
    </cfRule>
  </conditionalFormatting>
  <conditionalFormatting sqref="E32">
    <cfRule type="expression" dxfId="1509" priority="1491">
      <formula>OR($Z32=2,$Z32=12,$Z32=123)</formula>
    </cfRule>
  </conditionalFormatting>
  <conditionalFormatting sqref="D33:E33">
    <cfRule type="expression" dxfId="1508" priority="1490">
      <formula>$B33&lt;&gt;""</formula>
    </cfRule>
  </conditionalFormatting>
  <conditionalFormatting sqref="D33">
    <cfRule type="expression" dxfId="1507" priority="1489">
      <formula>OR($Z33=1,$Z33=12,$Z33=123)</formula>
    </cfRule>
  </conditionalFormatting>
  <conditionalFormatting sqref="E33">
    <cfRule type="expression" dxfId="1506" priority="1488">
      <formula>OR($Z33=2,$Z33=12,$Z33=123)</formula>
    </cfRule>
  </conditionalFormatting>
  <conditionalFormatting sqref="D34:E34">
    <cfRule type="expression" dxfId="1505" priority="1487">
      <formula>$B34&lt;&gt;""</formula>
    </cfRule>
  </conditionalFormatting>
  <conditionalFormatting sqref="D34">
    <cfRule type="expression" dxfId="1504" priority="1486">
      <formula>OR($Z34=1,$Z34=12,$Z34=123)</formula>
    </cfRule>
  </conditionalFormatting>
  <conditionalFormatting sqref="E34">
    <cfRule type="expression" dxfId="1503" priority="1485">
      <formula>OR($Z34=2,$Z34=12,$Z34=123)</formula>
    </cfRule>
  </conditionalFormatting>
  <conditionalFormatting sqref="D36:E36">
    <cfRule type="expression" dxfId="1502" priority="1484">
      <formula>$B36&lt;&gt;""</formula>
    </cfRule>
  </conditionalFormatting>
  <conditionalFormatting sqref="D36">
    <cfRule type="expression" dxfId="1501" priority="1483">
      <formula>OR($Z36=1,$Z36=12,$Z36=123)</formula>
    </cfRule>
  </conditionalFormatting>
  <conditionalFormatting sqref="E36">
    <cfRule type="expression" dxfId="1500" priority="1482">
      <formula>OR($Z36=2,$Z36=12,$Z36=123)</formula>
    </cfRule>
  </conditionalFormatting>
  <conditionalFormatting sqref="D37:E37">
    <cfRule type="expression" dxfId="1499" priority="1481">
      <formula>$B37&lt;&gt;""</formula>
    </cfRule>
  </conditionalFormatting>
  <conditionalFormatting sqref="D37">
    <cfRule type="expression" dxfId="1498" priority="1480">
      <formula>OR($Z37=1,$Z37=12,$Z37=123)</formula>
    </cfRule>
  </conditionalFormatting>
  <conditionalFormatting sqref="E37">
    <cfRule type="expression" dxfId="1497" priority="1479">
      <formula>OR($Z37=2,$Z37=12,$Z37=123)</formula>
    </cfRule>
  </conditionalFormatting>
  <conditionalFormatting sqref="D38:E38">
    <cfRule type="expression" dxfId="1496" priority="1478">
      <formula>$B38&lt;&gt;""</formula>
    </cfRule>
  </conditionalFormatting>
  <conditionalFormatting sqref="D38">
    <cfRule type="expression" dxfId="1495" priority="1477">
      <formula>OR($Z38=1,$Z38=12,$Z38=123)</formula>
    </cfRule>
  </conditionalFormatting>
  <conditionalFormatting sqref="E38">
    <cfRule type="expression" dxfId="1494" priority="1476">
      <formula>OR($Z38=2,$Z38=12,$Z38=123)</formula>
    </cfRule>
  </conditionalFormatting>
  <conditionalFormatting sqref="D40:E40">
    <cfRule type="expression" dxfId="1493" priority="1475">
      <formula>$B40&lt;&gt;""</formula>
    </cfRule>
  </conditionalFormatting>
  <conditionalFormatting sqref="D40">
    <cfRule type="expression" dxfId="1492" priority="1474">
      <formula>OR($Z40=1,$Z40=12,$Z40=123)</formula>
    </cfRule>
  </conditionalFormatting>
  <conditionalFormatting sqref="E40">
    <cfRule type="expression" dxfId="1491" priority="1473">
      <formula>OR($Z40=2,$Z40=12,$Z40=123)</formula>
    </cfRule>
  </conditionalFormatting>
  <conditionalFormatting sqref="D41:E41">
    <cfRule type="expression" dxfId="1490" priority="1472">
      <formula>$B41&lt;&gt;""</formula>
    </cfRule>
  </conditionalFormatting>
  <conditionalFormatting sqref="D41">
    <cfRule type="expression" dxfId="1489" priority="1471">
      <formula>OR($Z41=1,$Z41=12,$Z41=123)</formula>
    </cfRule>
  </conditionalFormatting>
  <conditionalFormatting sqref="E41">
    <cfRule type="expression" dxfId="1488" priority="1470">
      <formula>OR($Z41=2,$Z41=12,$Z41=123)</formula>
    </cfRule>
  </conditionalFormatting>
  <conditionalFormatting sqref="D32:E32">
    <cfRule type="expression" dxfId="1487" priority="1469">
      <formula>$B32&lt;&gt;""</formula>
    </cfRule>
  </conditionalFormatting>
  <conditionalFormatting sqref="D32">
    <cfRule type="expression" dxfId="1486" priority="1468">
      <formula>OR($Z32=1,$Z32=12,$Z32=123)</formula>
    </cfRule>
  </conditionalFormatting>
  <conditionalFormatting sqref="E32">
    <cfRule type="expression" dxfId="1485" priority="1467">
      <formula>OR($Z32=2,$Z32=12,$Z32=123)</formula>
    </cfRule>
  </conditionalFormatting>
  <conditionalFormatting sqref="D32:E32">
    <cfRule type="expression" dxfId="1484" priority="1466">
      <formula>$B32&lt;&gt;""</formula>
    </cfRule>
  </conditionalFormatting>
  <conditionalFormatting sqref="D32">
    <cfRule type="expression" dxfId="1483" priority="1465">
      <formula>OR($Z32=1,$Z32=12,$Z32=123)</formula>
    </cfRule>
  </conditionalFormatting>
  <conditionalFormatting sqref="E32">
    <cfRule type="expression" dxfId="1482" priority="1464">
      <formula>OR($Z32=2,$Z32=12,$Z32=123)</formula>
    </cfRule>
  </conditionalFormatting>
  <conditionalFormatting sqref="D34:E34">
    <cfRule type="expression" dxfId="1481" priority="1463">
      <formula>$B34&lt;&gt;""</formula>
    </cfRule>
  </conditionalFormatting>
  <conditionalFormatting sqref="D34">
    <cfRule type="expression" dxfId="1480" priority="1462">
      <formula>OR($Z34=1,$Z34=12,$Z34=123)</formula>
    </cfRule>
  </conditionalFormatting>
  <conditionalFormatting sqref="E34">
    <cfRule type="expression" dxfId="1479" priority="1461">
      <formula>OR($Z34=2,$Z34=12,$Z34=123)</formula>
    </cfRule>
  </conditionalFormatting>
  <conditionalFormatting sqref="D35:E35">
    <cfRule type="expression" dxfId="1478" priority="1460">
      <formula>$B35&lt;&gt;""</formula>
    </cfRule>
  </conditionalFormatting>
  <conditionalFormatting sqref="D35">
    <cfRule type="expression" dxfId="1477" priority="1459">
      <formula>OR($Z35=1,$Z35=12,$Z35=123)</formula>
    </cfRule>
  </conditionalFormatting>
  <conditionalFormatting sqref="E35">
    <cfRule type="expression" dxfId="1476" priority="1458">
      <formula>OR($Z35=2,$Z35=12,$Z35=123)</formula>
    </cfRule>
  </conditionalFormatting>
  <conditionalFormatting sqref="D37:E37">
    <cfRule type="expression" dxfId="1475" priority="1457">
      <formula>$B37&lt;&gt;""</formula>
    </cfRule>
  </conditionalFormatting>
  <conditionalFormatting sqref="D37">
    <cfRule type="expression" dxfId="1474" priority="1456">
      <formula>OR($Z37=1,$Z37=12,$Z37=123)</formula>
    </cfRule>
  </conditionalFormatting>
  <conditionalFormatting sqref="E37">
    <cfRule type="expression" dxfId="1473" priority="1455">
      <formula>OR($Z37=2,$Z37=12,$Z37=123)</formula>
    </cfRule>
  </conditionalFormatting>
  <conditionalFormatting sqref="D38:E38">
    <cfRule type="expression" dxfId="1472" priority="1454">
      <formula>$B38&lt;&gt;""</formula>
    </cfRule>
  </conditionalFormatting>
  <conditionalFormatting sqref="D38">
    <cfRule type="expression" dxfId="1471" priority="1453">
      <formula>OR($Z38=1,$Z38=12,$Z38=123)</formula>
    </cfRule>
  </conditionalFormatting>
  <conditionalFormatting sqref="E38">
    <cfRule type="expression" dxfId="1470" priority="1452">
      <formula>OR($Z38=2,$Z38=12,$Z38=123)</formula>
    </cfRule>
  </conditionalFormatting>
  <conditionalFormatting sqref="D39:E39">
    <cfRule type="expression" dxfId="1469" priority="1451">
      <formula>$B39&lt;&gt;""</formula>
    </cfRule>
  </conditionalFormatting>
  <conditionalFormatting sqref="D39">
    <cfRule type="expression" dxfId="1468" priority="1450">
      <formula>OR($Z39=1,$Z39=12,$Z39=123)</formula>
    </cfRule>
  </conditionalFormatting>
  <conditionalFormatting sqref="E39">
    <cfRule type="expression" dxfId="1467" priority="1449">
      <formula>OR($Z39=2,$Z39=12,$Z39=123)</formula>
    </cfRule>
  </conditionalFormatting>
  <conditionalFormatting sqref="D41:E41">
    <cfRule type="expression" dxfId="1466" priority="1448">
      <formula>$B41&lt;&gt;""</formula>
    </cfRule>
  </conditionalFormatting>
  <conditionalFormatting sqref="D41">
    <cfRule type="expression" dxfId="1465" priority="1447">
      <formula>OR($Z41=1,$Z41=12,$Z41=123)</formula>
    </cfRule>
  </conditionalFormatting>
  <conditionalFormatting sqref="E41">
    <cfRule type="expression" dxfId="1464" priority="1446">
      <formula>OR($Z41=2,$Z41=12,$Z41=123)</formula>
    </cfRule>
  </conditionalFormatting>
  <conditionalFormatting sqref="D42:E42">
    <cfRule type="expression" dxfId="1463" priority="1445">
      <formula>$B42&lt;&gt;""</formula>
    </cfRule>
  </conditionalFormatting>
  <conditionalFormatting sqref="D42">
    <cfRule type="expression" dxfId="1462" priority="1444">
      <formula>OR($Z42=1,$Z42=12,$Z42=123)</formula>
    </cfRule>
  </conditionalFormatting>
  <conditionalFormatting sqref="E42">
    <cfRule type="expression" dxfId="1461" priority="1443">
      <formula>OR($Z42=2,$Z42=12,$Z42=123)</formula>
    </cfRule>
  </conditionalFormatting>
  <conditionalFormatting sqref="E32">
    <cfRule type="expression" dxfId="1460" priority="1442">
      <formula>$B32&lt;&gt;""</formula>
    </cfRule>
  </conditionalFormatting>
  <conditionalFormatting sqref="E32">
    <cfRule type="expression" dxfId="1459" priority="1441">
      <formula>OR($Z32=2,$Z32=12,$Z32=123)</formula>
    </cfRule>
  </conditionalFormatting>
  <conditionalFormatting sqref="D33:E33">
    <cfRule type="expression" dxfId="1458" priority="1440">
      <formula>$B33&lt;&gt;""</formula>
    </cfRule>
  </conditionalFormatting>
  <conditionalFormatting sqref="D33">
    <cfRule type="expression" dxfId="1457" priority="1439">
      <formula>OR($Z33=1,$Z33=12,$Z33=123)</formula>
    </cfRule>
  </conditionalFormatting>
  <conditionalFormatting sqref="E33">
    <cfRule type="expression" dxfId="1456" priority="1438">
      <formula>OR($Z33=2,$Z33=12,$Z33=123)</formula>
    </cfRule>
  </conditionalFormatting>
  <conditionalFormatting sqref="D32">
    <cfRule type="expression" dxfId="1455" priority="1437">
      <formula>$B32&lt;&gt;""</formula>
    </cfRule>
  </conditionalFormatting>
  <conditionalFormatting sqref="D32">
    <cfRule type="expression" dxfId="1454" priority="1436">
      <formula>OR($Z32=1,$Z32=12,$Z32=123)</formula>
    </cfRule>
  </conditionalFormatting>
  <conditionalFormatting sqref="D27:E27">
    <cfRule type="expression" dxfId="1453" priority="1435">
      <formula>$B27&lt;&gt;""</formula>
    </cfRule>
  </conditionalFormatting>
  <conditionalFormatting sqref="D27">
    <cfRule type="expression" dxfId="1452" priority="1434">
      <formula>OR($Z27=1,$Z27=12,$Z27=123)</formula>
    </cfRule>
  </conditionalFormatting>
  <conditionalFormatting sqref="E27">
    <cfRule type="expression" dxfId="1451" priority="1433">
      <formula>OR($Z27=2,$Z27=12,$Z27=123)</formula>
    </cfRule>
  </conditionalFormatting>
  <conditionalFormatting sqref="D30:E30">
    <cfRule type="expression" dxfId="1450" priority="1432">
      <formula>$B30&lt;&gt;""</formula>
    </cfRule>
  </conditionalFormatting>
  <conditionalFormatting sqref="D30">
    <cfRule type="expression" dxfId="1449" priority="1431">
      <formula>OR($Z30=1,$Z30=12,$Z30=123)</formula>
    </cfRule>
  </conditionalFormatting>
  <conditionalFormatting sqref="E30">
    <cfRule type="expression" dxfId="1448" priority="1430">
      <formula>OR($Z30=2,$Z30=12,$Z30=123)</formula>
    </cfRule>
  </conditionalFormatting>
  <conditionalFormatting sqref="A46:H46">
    <cfRule type="expression" dxfId="1447" priority="1429">
      <formula>$B46&lt;&gt;""</formula>
    </cfRule>
  </conditionalFormatting>
  <conditionalFormatting sqref="D46">
    <cfRule type="expression" dxfId="1446" priority="1428">
      <formula>OR($Z46=1,$Z46=12,$Z46=123)</formula>
    </cfRule>
  </conditionalFormatting>
  <conditionalFormatting sqref="E46">
    <cfRule type="expression" dxfId="1445" priority="1427">
      <formula>OR($Z46=2,$Z46=12,$Z46=123)</formula>
    </cfRule>
  </conditionalFormatting>
  <conditionalFormatting sqref="D28:E28">
    <cfRule type="expression" dxfId="1444" priority="1426">
      <formula>$B28&lt;&gt;""</formula>
    </cfRule>
  </conditionalFormatting>
  <conditionalFormatting sqref="D28">
    <cfRule type="expression" dxfId="1443" priority="1425">
      <formula>OR($Z28=1,$Z28=12,$Z28=123)</formula>
    </cfRule>
  </conditionalFormatting>
  <conditionalFormatting sqref="E28">
    <cfRule type="expression" dxfId="1442" priority="1424">
      <formula>OR($Z28=2,$Z28=12,$Z28=123)</formula>
    </cfRule>
  </conditionalFormatting>
  <conditionalFormatting sqref="D29:E29">
    <cfRule type="expression" dxfId="1441" priority="1423">
      <formula>$B29&lt;&gt;""</formula>
    </cfRule>
  </conditionalFormatting>
  <conditionalFormatting sqref="D29">
    <cfRule type="expression" dxfId="1440" priority="1422">
      <formula>OR($Z29=1,$Z29=12,$Z29=123)</formula>
    </cfRule>
  </conditionalFormatting>
  <conditionalFormatting sqref="E29">
    <cfRule type="expression" dxfId="1439" priority="1421">
      <formula>OR($Z29=2,$Z29=12,$Z29=123)</formula>
    </cfRule>
  </conditionalFormatting>
  <conditionalFormatting sqref="E31">
    <cfRule type="expression" dxfId="1438" priority="1420">
      <formula>$B31&lt;&gt;""</formula>
    </cfRule>
  </conditionalFormatting>
  <conditionalFormatting sqref="E31">
    <cfRule type="expression" dxfId="1437" priority="1419">
      <formula>OR($Z31=2,$Z31=12,$Z31=123)</formula>
    </cfRule>
  </conditionalFormatting>
  <conditionalFormatting sqref="D32:E32">
    <cfRule type="expression" dxfId="1436" priority="1418">
      <formula>$B32&lt;&gt;""</formula>
    </cfRule>
  </conditionalFormatting>
  <conditionalFormatting sqref="D32">
    <cfRule type="expression" dxfId="1435" priority="1417">
      <formula>OR($Z32=1,$Z32=12,$Z32=123)</formula>
    </cfRule>
  </conditionalFormatting>
  <conditionalFormatting sqref="E32">
    <cfRule type="expression" dxfId="1434" priority="1416">
      <formula>OR($Z32=2,$Z32=12,$Z32=123)</formula>
    </cfRule>
  </conditionalFormatting>
  <conditionalFormatting sqref="D34:E34">
    <cfRule type="expression" dxfId="1433" priority="1415">
      <formula>$B34&lt;&gt;""</formula>
    </cfRule>
  </conditionalFormatting>
  <conditionalFormatting sqref="D34">
    <cfRule type="expression" dxfId="1432" priority="1414">
      <formula>OR($Z34=1,$Z34=12,$Z34=123)</formula>
    </cfRule>
  </conditionalFormatting>
  <conditionalFormatting sqref="E34">
    <cfRule type="expression" dxfId="1431" priority="1413">
      <formula>OR($Z34=2,$Z34=12,$Z34=123)</formula>
    </cfRule>
  </conditionalFormatting>
  <conditionalFormatting sqref="D35:E35">
    <cfRule type="expression" dxfId="1430" priority="1412">
      <formula>$B35&lt;&gt;""</formula>
    </cfRule>
  </conditionalFormatting>
  <conditionalFormatting sqref="D35">
    <cfRule type="expression" dxfId="1429" priority="1411">
      <formula>OR($Z35=1,$Z35=12,$Z35=123)</formula>
    </cfRule>
  </conditionalFormatting>
  <conditionalFormatting sqref="E35">
    <cfRule type="expression" dxfId="1428" priority="1410">
      <formula>OR($Z35=2,$Z35=12,$Z35=123)</formula>
    </cfRule>
  </conditionalFormatting>
  <conditionalFormatting sqref="D37:E37">
    <cfRule type="expression" dxfId="1427" priority="1409">
      <formula>$B37&lt;&gt;""</formula>
    </cfRule>
  </conditionalFormatting>
  <conditionalFormatting sqref="D37">
    <cfRule type="expression" dxfId="1426" priority="1408">
      <formula>OR($Z37=1,$Z37=12,$Z37=123)</formula>
    </cfRule>
  </conditionalFormatting>
  <conditionalFormatting sqref="E37">
    <cfRule type="expression" dxfId="1425" priority="1407">
      <formula>OR($Z37=2,$Z37=12,$Z37=123)</formula>
    </cfRule>
  </conditionalFormatting>
  <conditionalFormatting sqref="D38:E38">
    <cfRule type="expression" dxfId="1424" priority="1406">
      <formula>$B38&lt;&gt;""</formula>
    </cfRule>
  </conditionalFormatting>
  <conditionalFormatting sqref="D38">
    <cfRule type="expression" dxfId="1423" priority="1405">
      <formula>OR($Z38=1,$Z38=12,$Z38=123)</formula>
    </cfRule>
  </conditionalFormatting>
  <conditionalFormatting sqref="E38">
    <cfRule type="expression" dxfId="1422" priority="1404">
      <formula>OR($Z38=2,$Z38=12,$Z38=123)</formula>
    </cfRule>
  </conditionalFormatting>
  <conditionalFormatting sqref="D39:E39">
    <cfRule type="expression" dxfId="1421" priority="1403">
      <formula>$B39&lt;&gt;""</formula>
    </cfRule>
  </conditionalFormatting>
  <conditionalFormatting sqref="D39">
    <cfRule type="expression" dxfId="1420" priority="1402">
      <formula>OR($Z39=1,$Z39=12,$Z39=123)</formula>
    </cfRule>
  </conditionalFormatting>
  <conditionalFormatting sqref="E39">
    <cfRule type="expression" dxfId="1419" priority="1401">
      <formula>OR($Z39=2,$Z39=12,$Z39=123)</formula>
    </cfRule>
  </conditionalFormatting>
  <conditionalFormatting sqref="D41:E41">
    <cfRule type="expression" dxfId="1418" priority="1400">
      <formula>$B41&lt;&gt;""</formula>
    </cfRule>
  </conditionalFormatting>
  <conditionalFormatting sqref="D41">
    <cfRule type="expression" dxfId="1417" priority="1399">
      <formula>OR($Z41=1,$Z41=12,$Z41=123)</formula>
    </cfRule>
  </conditionalFormatting>
  <conditionalFormatting sqref="E41">
    <cfRule type="expression" dxfId="1416" priority="1398">
      <formula>OR($Z41=2,$Z41=12,$Z41=123)</formula>
    </cfRule>
  </conditionalFormatting>
  <conditionalFormatting sqref="D42:E42">
    <cfRule type="expression" dxfId="1415" priority="1397">
      <formula>$B42&lt;&gt;""</formula>
    </cfRule>
  </conditionalFormatting>
  <conditionalFormatting sqref="D42">
    <cfRule type="expression" dxfId="1414" priority="1396">
      <formula>OR($Z42=1,$Z42=12,$Z42=123)</formula>
    </cfRule>
  </conditionalFormatting>
  <conditionalFormatting sqref="E42">
    <cfRule type="expression" dxfId="1413" priority="1395">
      <formula>OR($Z42=2,$Z42=12,$Z42=123)</formula>
    </cfRule>
  </conditionalFormatting>
  <conditionalFormatting sqref="D44:E44">
    <cfRule type="expression" dxfId="1412" priority="1394">
      <formula>$B44&lt;&gt;""</formula>
    </cfRule>
  </conditionalFormatting>
  <conditionalFormatting sqref="D44">
    <cfRule type="expression" dxfId="1411" priority="1393">
      <formula>OR($Z44=1,$Z44=12,$Z44=123)</formula>
    </cfRule>
  </conditionalFormatting>
  <conditionalFormatting sqref="E44">
    <cfRule type="expression" dxfId="1410" priority="1392">
      <formula>OR($Z44=2,$Z44=12,$Z44=123)</formula>
    </cfRule>
  </conditionalFormatting>
  <conditionalFormatting sqref="D31">
    <cfRule type="expression" dxfId="1409" priority="1391">
      <formula>$B31&lt;&gt;""</formula>
    </cfRule>
  </conditionalFormatting>
  <conditionalFormatting sqref="D31">
    <cfRule type="expression" dxfId="1408" priority="1390">
      <formula>OR($Z31=1,$Z31=12,$Z31=123)</formula>
    </cfRule>
  </conditionalFormatting>
  <conditionalFormatting sqref="A27:H27">
    <cfRule type="expression" dxfId="1407" priority="1389">
      <formula>$B27&lt;&gt;""</formula>
    </cfRule>
  </conditionalFormatting>
  <conditionalFormatting sqref="D27">
    <cfRule type="expression" dxfId="1406" priority="1388">
      <formula>OR($Z27=1,$Z27=12,$Z27=123)</formula>
    </cfRule>
  </conditionalFormatting>
  <conditionalFormatting sqref="E27">
    <cfRule type="expression" dxfId="1405" priority="1387">
      <formula>OR($Z27=2,$Z27=12,$Z27=123)</formula>
    </cfRule>
  </conditionalFormatting>
  <conditionalFormatting sqref="D28:E28">
    <cfRule type="expression" dxfId="1404" priority="1386">
      <formula>$B28&lt;&gt;""</formula>
    </cfRule>
  </conditionalFormatting>
  <conditionalFormatting sqref="D28">
    <cfRule type="expression" dxfId="1403" priority="1385">
      <formula>OR($Z28=1,$Z28=12,$Z28=123)</formula>
    </cfRule>
  </conditionalFormatting>
  <conditionalFormatting sqref="E28">
    <cfRule type="expression" dxfId="1402" priority="1384">
      <formula>OR($Z28=2,$Z28=12,$Z28=123)</formula>
    </cfRule>
  </conditionalFormatting>
  <conditionalFormatting sqref="D31:E31">
    <cfRule type="expression" dxfId="1401" priority="1383">
      <formula>$B31&lt;&gt;""</formula>
    </cfRule>
  </conditionalFormatting>
  <conditionalFormatting sqref="D31">
    <cfRule type="expression" dxfId="1400" priority="1382">
      <formula>OR($Z31=1,$Z31=12,$Z31=123)</formula>
    </cfRule>
  </conditionalFormatting>
  <conditionalFormatting sqref="E31">
    <cfRule type="expression" dxfId="1399" priority="1381">
      <formula>OR($Z31=2,$Z31=12,$Z31=123)</formula>
    </cfRule>
  </conditionalFormatting>
  <conditionalFormatting sqref="D29:E29">
    <cfRule type="expression" dxfId="1398" priority="1380">
      <formula>$B29&lt;&gt;""</formula>
    </cfRule>
  </conditionalFormatting>
  <conditionalFormatting sqref="D29">
    <cfRule type="expression" dxfId="1397" priority="1379">
      <formula>OR($Z29=1,$Z29=12,$Z29=123)</formula>
    </cfRule>
  </conditionalFormatting>
  <conditionalFormatting sqref="E29">
    <cfRule type="expression" dxfId="1396" priority="1378">
      <formula>OR($Z29=2,$Z29=12,$Z29=123)</formula>
    </cfRule>
  </conditionalFormatting>
  <conditionalFormatting sqref="D30:E30">
    <cfRule type="expression" dxfId="1395" priority="1377">
      <formula>$B30&lt;&gt;""</formula>
    </cfRule>
  </conditionalFormatting>
  <conditionalFormatting sqref="D30">
    <cfRule type="expression" dxfId="1394" priority="1376">
      <formula>OR($Z30=1,$Z30=12,$Z30=123)</formula>
    </cfRule>
  </conditionalFormatting>
  <conditionalFormatting sqref="E30">
    <cfRule type="expression" dxfId="1393" priority="1375">
      <formula>OR($Z30=2,$Z30=12,$Z30=123)</formula>
    </cfRule>
  </conditionalFormatting>
  <conditionalFormatting sqref="E32">
    <cfRule type="expression" dxfId="1392" priority="1374">
      <formula>$B32&lt;&gt;""</formula>
    </cfRule>
  </conditionalFormatting>
  <conditionalFormatting sqref="E32">
    <cfRule type="expression" dxfId="1391" priority="1373">
      <formula>OR($Z32=2,$Z32=12,$Z32=123)</formula>
    </cfRule>
  </conditionalFormatting>
  <conditionalFormatting sqref="D33:E33">
    <cfRule type="expression" dxfId="1390" priority="1372">
      <formula>$B33&lt;&gt;""</formula>
    </cfRule>
  </conditionalFormatting>
  <conditionalFormatting sqref="D33">
    <cfRule type="expression" dxfId="1389" priority="1371">
      <formula>OR($Z33=1,$Z33=12,$Z33=123)</formula>
    </cfRule>
  </conditionalFormatting>
  <conditionalFormatting sqref="E33">
    <cfRule type="expression" dxfId="1388" priority="1370">
      <formula>OR($Z33=2,$Z33=12,$Z33=123)</formula>
    </cfRule>
  </conditionalFormatting>
  <conditionalFormatting sqref="D32">
    <cfRule type="expression" dxfId="1387" priority="1369">
      <formula>$B32&lt;&gt;""</formula>
    </cfRule>
  </conditionalFormatting>
  <conditionalFormatting sqref="D32">
    <cfRule type="expression" dxfId="1386" priority="1368">
      <formula>OR($Z32=1,$Z32=12,$Z32=123)</formula>
    </cfRule>
  </conditionalFormatting>
  <conditionalFormatting sqref="A27:H27">
    <cfRule type="expression" dxfId="1385" priority="1367">
      <formula>$B27&lt;&gt;""</formula>
    </cfRule>
  </conditionalFormatting>
  <conditionalFormatting sqref="D27">
    <cfRule type="expression" dxfId="1384" priority="1366">
      <formula>OR($Z27=1,$Z27=12,$Z27=123)</formula>
    </cfRule>
  </conditionalFormatting>
  <conditionalFormatting sqref="E27">
    <cfRule type="expression" dxfId="1383" priority="1365">
      <formula>OR($Z27=2,$Z27=12,$Z27=123)</formula>
    </cfRule>
  </conditionalFormatting>
  <conditionalFormatting sqref="D28:E28">
    <cfRule type="expression" dxfId="1382" priority="1364">
      <formula>$B28&lt;&gt;""</formula>
    </cfRule>
  </conditionalFormatting>
  <conditionalFormatting sqref="D28">
    <cfRule type="expression" dxfId="1381" priority="1363">
      <formula>OR($Z28=1,$Z28=12,$Z28=123)</formula>
    </cfRule>
  </conditionalFormatting>
  <conditionalFormatting sqref="E28">
    <cfRule type="expression" dxfId="1380" priority="1362">
      <formula>OR($Z28=2,$Z28=12,$Z28=123)</formula>
    </cfRule>
  </conditionalFormatting>
  <conditionalFormatting sqref="D31:E31">
    <cfRule type="expression" dxfId="1379" priority="1361">
      <formula>$B31&lt;&gt;""</formula>
    </cfRule>
  </conditionalFormatting>
  <conditionalFormatting sqref="D31">
    <cfRule type="expression" dxfId="1378" priority="1360">
      <formula>OR($Z31=1,$Z31=12,$Z31=123)</formula>
    </cfRule>
  </conditionalFormatting>
  <conditionalFormatting sqref="E31">
    <cfRule type="expression" dxfId="1377" priority="1359">
      <formula>OR($Z31=2,$Z31=12,$Z31=123)</formula>
    </cfRule>
  </conditionalFormatting>
  <conditionalFormatting sqref="D29:E29">
    <cfRule type="expression" dxfId="1376" priority="1358">
      <formula>$B29&lt;&gt;""</formula>
    </cfRule>
  </conditionalFormatting>
  <conditionalFormatting sqref="D29">
    <cfRule type="expression" dxfId="1375" priority="1357">
      <formula>OR($Z29=1,$Z29=12,$Z29=123)</formula>
    </cfRule>
  </conditionalFormatting>
  <conditionalFormatting sqref="E29">
    <cfRule type="expression" dxfId="1374" priority="1356">
      <formula>OR($Z29=2,$Z29=12,$Z29=123)</formula>
    </cfRule>
  </conditionalFormatting>
  <conditionalFormatting sqref="D30:E30">
    <cfRule type="expression" dxfId="1373" priority="1355">
      <formula>$B30&lt;&gt;""</formula>
    </cfRule>
  </conditionalFormatting>
  <conditionalFormatting sqref="D30">
    <cfRule type="expression" dxfId="1372" priority="1354">
      <formula>OR($Z30=1,$Z30=12,$Z30=123)</formula>
    </cfRule>
  </conditionalFormatting>
  <conditionalFormatting sqref="E30">
    <cfRule type="expression" dxfId="1371" priority="1353">
      <formula>OR($Z30=2,$Z30=12,$Z30=123)</formula>
    </cfRule>
  </conditionalFormatting>
  <conditionalFormatting sqref="E32">
    <cfRule type="expression" dxfId="1370" priority="1352">
      <formula>$B32&lt;&gt;""</formula>
    </cfRule>
  </conditionalFormatting>
  <conditionalFormatting sqref="E32">
    <cfRule type="expression" dxfId="1369" priority="1351">
      <formula>OR($Z32=2,$Z32=12,$Z32=123)</formula>
    </cfRule>
  </conditionalFormatting>
  <conditionalFormatting sqref="D33:E33">
    <cfRule type="expression" dxfId="1368" priority="1350">
      <formula>$B33&lt;&gt;""</formula>
    </cfRule>
  </conditionalFormatting>
  <conditionalFormatting sqref="D33">
    <cfRule type="expression" dxfId="1367" priority="1349">
      <formula>OR($Z33=1,$Z33=12,$Z33=123)</formula>
    </cfRule>
  </conditionalFormatting>
  <conditionalFormatting sqref="E33">
    <cfRule type="expression" dxfId="1366" priority="1348">
      <formula>OR($Z33=2,$Z33=12,$Z33=123)</formula>
    </cfRule>
  </conditionalFormatting>
  <conditionalFormatting sqref="D35:E35">
    <cfRule type="expression" dxfId="1365" priority="1347">
      <formula>$B35&lt;&gt;""</formula>
    </cfRule>
  </conditionalFormatting>
  <conditionalFormatting sqref="D35">
    <cfRule type="expression" dxfId="1364" priority="1346">
      <formula>OR($Z35=1,$Z35=12,$Z35=123)</formula>
    </cfRule>
  </conditionalFormatting>
  <conditionalFormatting sqref="E35">
    <cfRule type="expression" dxfId="1363" priority="1345">
      <formula>OR($Z35=2,$Z35=12,$Z35=123)</formula>
    </cfRule>
  </conditionalFormatting>
  <conditionalFormatting sqref="D36:E36">
    <cfRule type="expression" dxfId="1362" priority="1344">
      <formula>$B36&lt;&gt;""</formula>
    </cfRule>
  </conditionalFormatting>
  <conditionalFormatting sqref="D36">
    <cfRule type="expression" dxfId="1361" priority="1343">
      <formula>OR($Z36=1,$Z36=12,$Z36=123)</formula>
    </cfRule>
  </conditionalFormatting>
  <conditionalFormatting sqref="E36">
    <cfRule type="expression" dxfId="1360" priority="1342">
      <formula>OR($Z36=2,$Z36=12,$Z36=123)</formula>
    </cfRule>
  </conditionalFormatting>
  <conditionalFormatting sqref="D38:E38">
    <cfRule type="expression" dxfId="1359" priority="1341">
      <formula>$B38&lt;&gt;""</formula>
    </cfRule>
  </conditionalFormatting>
  <conditionalFormatting sqref="D38">
    <cfRule type="expression" dxfId="1358" priority="1340">
      <formula>OR($Z38=1,$Z38=12,$Z38=123)</formula>
    </cfRule>
  </conditionalFormatting>
  <conditionalFormatting sqref="E38">
    <cfRule type="expression" dxfId="1357" priority="1339">
      <formula>OR($Z38=2,$Z38=12,$Z38=123)</formula>
    </cfRule>
  </conditionalFormatting>
  <conditionalFormatting sqref="D39:E39">
    <cfRule type="expression" dxfId="1356" priority="1338">
      <formula>$B39&lt;&gt;""</formula>
    </cfRule>
  </conditionalFormatting>
  <conditionalFormatting sqref="D39">
    <cfRule type="expression" dxfId="1355" priority="1337">
      <formula>OR($Z39=1,$Z39=12,$Z39=123)</formula>
    </cfRule>
  </conditionalFormatting>
  <conditionalFormatting sqref="E39">
    <cfRule type="expression" dxfId="1354" priority="1336">
      <formula>OR($Z39=2,$Z39=12,$Z39=123)</formula>
    </cfRule>
  </conditionalFormatting>
  <conditionalFormatting sqref="D40:E40">
    <cfRule type="expression" dxfId="1353" priority="1335">
      <formula>$B40&lt;&gt;""</formula>
    </cfRule>
  </conditionalFormatting>
  <conditionalFormatting sqref="D40">
    <cfRule type="expression" dxfId="1352" priority="1334">
      <formula>OR($Z40=1,$Z40=12,$Z40=123)</formula>
    </cfRule>
  </conditionalFormatting>
  <conditionalFormatting sqref="E40">
    <cfRule type="expression" dxfId="1351" priority="1333">
      <formula>OR($Z40=2,$Z40=12,$Z40=123)</formula>
    </cfRule>
  </conditionalFormatting>
  <conditionalFormatting sqref="D42:E42">
    <cfRule type="expression" dxfId="1350" priority="1332">
      <formula>$B42&lt;&gt;""</formula>
    </cfRule>
  </conditionalFormatting>
  <conditionalFormatting sqref="D42">
    <cfRule type="expression" dxfId="1349" priority="1331">
      <formula>OR($Z42=1,$Z42=12,$Z42=123)</formula>
    </cfRule>
  </conditionalFormatting>
  <conditionalFormatting sqref="E42">
    <cfRule type="expression" dxfId="1348" priority="1330">
      <formula>OR($Z42=2,$Z42=12,$Z42=123)</formula>
    </cfRule>
  </conditionalFormatting>
  <conditionalFormatting sqref="D43:E43">
    <cfRule type="expression" dxfId="1347" priority="1329">
      <formula>$B43&lt;&gt;""</formula>
    </cfRule>
  </conditionalFormatting>
  <conditionalFormatting sqref="D43">
    <cfRule type="expression" dxfId="1346" priority="1328">
      <formula>OR($Z43=1,$Z43=12,$Z43=123)</formula>
    </cfRule>
  </conditionalFormatting>
  <conditionalFormatting sqref="E43">
    <cfRule type="expression" dxfId="1345" priority="1327">
      <formula>OR($Z43=2,$Z43=12,$Z43=123)</formula>
    </cfRule>
  </conditionalFormatting>
  <conditionalFormatting sqref="D32">
    <cfRule type="expression" dxfId="1344" priority="1326">
      <formula>$B32&lt;&gt;""</formula>
    </cfRule>
  </conditionalFormatting>
  <conditionalFormatting sqref="D32">
    <cfRule type="expression" dxfId="1343" priority="1325">
      <formula>OR($Z32=1,$Z32=12,$Z32=123)</formula>
    </cfRule>
  </conditionalFormatting>
  <conditionalFormatting sqref="A28:H28">
    <cfRule type="expression" dxfId="1342" priority="1324">
      <formula>$B28&lt;&gt;""</formula>
    </cfRule>
  </conditionalFormatting>
  <conditionalFormatting sqref="D28">
    <cfRule type="expression" dxfId="1341" priority="1323">
      <formula>OR($Z28=1,$Z28=12,$Z28=123)</formula>
    </cfRule>
  </conditionalFormatting>
  <conditionalFormatting sqref="E28">
    <cfRule type="expression" dxfId="1340" priority="1322">
      <formula>OR($Z28=2,$Z28=12,$Z28=123)</formula>
    </cfRule>
  </conditionalFormatting>
  <conditionalFormatting sqref="D29:E29">
    <cfRule type="expression" dxfId="1339" priority="1321">
      <formula>$B29&lt;&gt;""</formula>
    </cfRule>
  </conditionalFormatting>
  <conditionalFormatting sqref="D29">
    <cfRule type="expression" dxfId="1338" priority="1320">
      <formula>OR($Z29=1,$Z29=12,$Z29=123)</formula>
    </cfRule>
  </conditionalFormatting>
  <conditionalFormatting sqref="E29">
    <cfRule type="expression" dxfId="1337" priority="1319">
      <formula>OR($Z29=2,$Z29=12,$Z29=123)</formula>
    </cfRule>
  </conditionalFormatting>
  <conditionalFormatting sqref="D32:E32">
    <cfRule type="expression" dxfId="1336" priority="1318">
      <formula>$B32&lt;&gt;""</formula>
    </cfRule>
  </conditionalFormatting>
  <conditionalFormatting sqref="D32">
    <cfRule type="expression" dxfId="1335" priority="1317">
      <formula>OR($Z32=1,$Z32=12,$Z32=123)</formula>
    </cfRule>
  </conditionalFormatting>
  <conditionalFormatting sqref="E32">
    <cfRule type="expression" dxfId="1334" priority="1316">
      <formula>OR($Z32=2,$Z32=12,$Z32=123)</formula>
    </cfRule>
  </conditionalFormatting>
  <conditionalFormatting sqref="D30:E30">
    <cfRule type="expression" dxfId="1333" priority="1315">
      <formula>$B30&lt;&gt;""</formula>
    </cfRule>
  </conditionalFormatting>
  <conditionalFormatting sqref="D30">
    <cfRule type="expression" dxfId="1332" priority="1314">
      <formula>OR($Z30=1,$Z30=12,$Z30=123)</formula>
    </cfRule>
  </conditionalFormatting>
  <conditionalFormatting sqref="E30">
    <cfRule type="expression" dxfId="1331" priority="1313">
      <formula>OR($Z30=2,$Z30=12,$Z30=123)</formula>
    </cfRule>
  </conditionalFormatting>
  <conditionalFormatting sqref="D31:E31">
    <cfRule type="expression" dxfId="1330" priority="1312">
      <formula>$B31&lt;&gt;""</formula>
    </cfRule>
  </conditionalFormatting>
  <conditionalFormatting sqref="D31">
    <cfRule type="expression" dxfId="1329" priority="1311">
      <formula>OR($Z31=1,$Z31=12,$Z31=123)</formula>
    </cfRule>
  </conditionalFormatting>
  <conditionalFormatting sqref="E31">
    <cfRule type="expression" dxfId="1328" priority="1310">
      <formula>OR($Z31=2,$Z31=12,$Z31=123)</formula>
    </cfRule>
  </conditionalFormatting>
  <conditionalFormatting sqref="E33">
    <cfRule type="expression" dxfId="1327" priority="1309">
      <formula>$B33&lt;&gt;""</formula>
    </cfRule>
  </conditionalFormatting>
  <conditionalFormatting sqref="E33">
    <cfRule type="expression" dxfId="1326" priority="1308">
      <formula>OR($Z33=2,$Z33=12,$Z33=123)</formula>
    </cfRule>
  </conditionalFormatting>
  <conditionalFormatting sqref="D34:E34">
    <cfRule type="expression" dxfId="1325" priority="1307">
      <formula>$B34&lt;&gt;""</formula>
    </cfRule>
  </conditionalFormatting>
  <conditionalFormatting sqref="D34">
    <cfRule type="expression" dxfId="1324" priority="1306">
      <formula>OR($Z34=1,$Z34=12,$Z34=123)</formula>
    </cfRule>
  </conditionalFormatting>
  <conditionalFormatting sqref="E34">
    <cfRule type="expression" dxfId="1323" priority="1305">
      <formula>OR($Z34=2,$Z34=12,$Z34=123)</formula>
    </cfRule>
  </conditionalFormatting>
  <conditionalFormatting sqref="D33">
    <cfRule type="expression" dxfId="1322" priority="1304">
      <formula>$B33&lt;&gt;""</formula>
    </cfRule>
  </conditionalFormatting>
  <conditionalFormatting sqref="D33">
    <cfRule type="expression" dxfId="1321" priority="1303">
      <formula>OR($Z33=1,$Z33=12,$Z33=123)</formula>
    </cfRule>
  </conditionalFormatting>
  <conditionalFormatting sqref="A27:H27">
    <cfRule type="expression" dxfId="1320" priority="1302">
      <formula>$B27&lt;&gt;""</formula>
    </cfRule>
  </conditionalFormatting>
  <conditionalFormatting sqref="D27">
    <cfRule type="expression" dxfId="1319" priority="1301">
      <formula>OR($Z27=1,$Z27=12,$Z27=123)</formula>
    </cfRule>
  </conditionalFormatting>
  <conditionalFormatting sqref="E27">
    <cfRule type="expression" dxfId="1318" priority="1300">
      <formula>OR($Z27=2,$Z27=12,$Z27=123)</formula>
    </cfRule>
  </conditionalFormatting>
  <conditionalFormatting sqref="D28:E28">
    <cfRule type="expression" dxfId="1317" priority="1299">
      <formula>$B28&lt;&gt;""</formula>
    </cfRule>
  </conditionalFormatting>
  <conditionalFormatting sqref="D28">
    <cfRule type="expression" dxfId="1316" priority="1298">
      <formula>OR($Z28=1,$Z28=12,$Z28=123)</formula>
    </cfRule>
  </conditionalFormatting>
  <conditionalFormatting sqref="E28">
    <cfRule type="expression" dxfId="1315" priority="1297">
      <formula>OR($Z28=2,$Z28=12,$Z28=123)</formula>
    </cfRule>
  </conditionalFormatting>
  <conditionalFormatting sqref="D31:E31">
    <cfRule type="expression" dxfId="1314" priority="1296">
      <formula>$B31&lt;&gt;""</formula>
    </cfRule>
  </conditionalFormatting>
  <conditionalFormatting sqref="D31">
    <cfRule type="expression" dxfId="1313" priority="1295">
      <formula>OR($Z31=1,$Z31=12,$Z31=123)</formula>
    </cfRule>
  </conditionalFormatting>
  <conditionalFormatting sqref="E31">
    <cfRule type="expression" dxfId="1312" priority="1294">
      <formula>OR($Z31=2,$Z31=12,$Z31=123)</formula>
    </cfRule>
  </conditionalFormatting>
  <conditionalFormatting sqref="D29:E29">
    <cfRule type="expression" dxfId="1311" priority="1293">
      <formula>$B29&lt;&gt;""</formula>
    </cfRule>
  </conditionalFormatting>
  <conditionalFormatting sqref="D29">
    <cfRule type="expression" dxfId="1310" priority="1292">
      <formula>OR($Z29=1,$Z29=12,$Z29=123)</formula>
    </cfRule>
  </conditionalFormatting>
  <conditionalFormatting sqref="E29">
    <cfRule type="expression" dxfId="1309" priority="1291">
      <formula>OR($Z29=2,$Z29=12,$Z29=123)</formula>
    </cfRule>
  </conditionalFormatting>
  <conditionalFormatting sqref="D30:E30">
    <cfRule type="expression" dxfId="1308" priority="1290">
      <formula>$B30&lt;&gt;""</formula>
    </cfRule>
  </conditionalFormatting>
  <conditionalFormatting sqref="D30">
    <cfRule type="expression" dxfId="1307" priority="1289">
      <formula>OR($Z30=1,$Z30=12,$Z30=123)</formula>
    </cfRule>
  </conditionalFormatting>
  <conditionalFormatting sqref="E30">
    <cfRule type="expression" dxfId="1306" priority="1288">
      <formula>OR($Z30=2,$Z30=12,$Z30=123)</formula>
    </cfRule>
  </conditionalFormatting>
  <conditionalFormatting sqref="E32">
    <cfRule type="expression" dxfId="1305" priority="1287">
      <formula>$B32&lt;&gt;""</formula>
    </cfRule>
  </conditionalFormatting>
  <conditionalFormatting sqref="E32">
    <cfRule type="expression" dxfId="1304" priority="1286">
      <formula>OR($Z32=2,$Z32=12,$Z32=123)</formula>
    </cfRule>
  </conditionalFormatting>
  <conditionalFormatting sqref="D33:E33">
    <cfRule type="expression" dxfId="1303" priority="1285">
      <formula>$B33&lt;&gt;""</formula>
    </cfRule>
  </conditionalFormatting>
  <conditionalFormatting sqref="D33">
    <cfRule type="expression" dxfId="1302" priority="1284">
      <formula>OR($Z33=1,$Z33=12,$Z33=123)</formula>
    </cfRule>
  </conditionalFormatting>
  <conditionalFormatting sqref="E33">
    <cfRule type="expression" dxfId="1301" priority="1283">
      <formula>OR($Z33=2,$Z33=12,$Z33=123)</formula>
    </cfRule>
  </conditionalFormatting>
  <conditionalFormatting sqref="D35:E35">
    <cfRule type="expression" dxfId="1300" priority="1282">
      <formula>$B35&lt;&gt;""</formula>
    </cfRule>
  </conditionalFormatting>
  <conditionalFormatting sqref="D35">
    <cfRule type="expression" dxfId="1299" priority="1281">
      <formula>OR($Z35=1,$Z35=12,$Z35=123)</formula>
    </cfRule>
  </conditionalFormatting>
  <conditionalFormatting sqref="E35">
    <cfRule type="expression" dxfId="1298" priority="1280">
      <formula>OR($Z35=2,$Z35=12,$Z35=123)</formula>
    </cfRule>
  </conditionalFormatting>
  <conditionalFormatting sqref="D36:E36">
    <cfRule type="expression" dxfId="1297" priority="1279">
      <formula>$B36&lt;&gt;""</formula>
    </cfRule>
  </conditionalFormatting>
  <conditionalFormatting sqref="D36">
    <cfRule type="expression" dxfId="1296" priority="1278">
      <formula>OR($Z36=1,$Z36=12,$Z36=123)</formula>
    </cfRule>
  </conditionalFormatting>
  <conditionalFormatting sqref="E36">
    <cfRule type="expression" dxfId="1295" priority="1277">
      <formula>OR($Z36=2,$Z36=12,$Z36=123)</formula>
    </cfRule>
  </conditionalFormatting>
  <conditionalFormatting sqref="D38:E38">
    <cfRule type="expression" dxfId="1294" priority="1276">
      <formula>$B38&lt;&gt;""</formula>
    </cfRule>
  </conditionalFormatting>
  <conditionalFormatting sqref="D38">
    <cfRule type="expression" dxfId="1293" priority="1275">
      <formula>OR($Z38=1,$Z38=12,$Z38=123)</formula>
    </cfRule>
  </conditionalFormatting>
  <conditionalFormatting sqref="E38">
    <cfRule type="expression" dxfId="1292" priority="1274">
      <formula>OR($Z38=2,$Z38=12,$Z38=123)</formula>
    </cfRule>
  </conditionalFormatting>
  <conditionalFormatting sqref="D39:E39">
    <cfRule type="expression" dxfId="1291" priority="1273">
      <formula>$B39&lt;&gt;""</formula>
    </cfRule>
  </conditionalFormatting>
  <conditionalFormatting sqref="D39">
    <cfRule type="expression" dxfId="1290" priority="1272">
      <formula>OR($Z39=1,$Z39=12,$Z39=123)</formula>
    </cfRule>
  </conditionalFormatting>
  <conditionalFormatting sqref="E39">
    <cfRule type="expression" dxfId="1289" priority="1271">
      <formula>OR($Z39=2,$Z39=12,$Z39=123)</formula>
    </cfRule>
  </conditionalFormatting>
  <conditionalFormatting sqref="D40:E40">
    <cfRule type="expression" dxfId="1288" priority="1270">
      <formula>$B40&lt;&gt;""</formula>
    </cfRule>
  </conditionalFormatting>
  <conditionalFormatting sqref="D40">
    <cfRule type="expression" dxfId="1287" priority="1269">
      <formula>OR($Z40=1,$Z40=12,$Z40=123)</formula>
    </cfRule>
  </conditionalFormatting>
  <conditionalFormatting sqref="E40">
    <cfRule type="expression" dxfId="1286" priority="1268">
      <formula>OR($Z40=2,$Z40=12,$Z40=123)</formula>
    </cfRule>
  </conditionalFormatting>
  <conditionalFormatting sqref="D42:E42">
    <cfRule type="expression" dxfId="1285" priority="1267">
      <formula>$B42&lt;&gt;""</formula>
    </cfRule>
  </conditionalFormatting>
  <conditionalFormatting sqref="D42">
    <cfRule type="expression" dxfId="1284" priority="1266">
      <formula>OR($Z42=1,$Z42=12,$Z42=123)</formula>
    </cfRule>
  </conditionalFormatting>
  <conditionalFormatting sqref="E42">
    <cfRule type="expression" dxfId="1283" priority="1265">
      <formula>OR($Z42=2,$Z42=12,$Z42=123)</formula>
    </cfRule>
  </conditionalFormatting>
  <conditionalFormatting sqref="D43:E43">
    <cfRule type="expression" dxfId="1282" priority="1264">
      <formula>$B43&lt;&gt;""</formula>
    </cfRule>
  </conditionalFormatting>
  <conditionalFormatting sqref="D43">
    <cfRule type="expression" dxfId="1281" priority="1263">
      <formula>OR($Z43=1,$Z43=12,$Z43=123)</formula>
    </cfRule>
  </conditionalFormatting>
  <conditionalFormatting sqref="E43">
    <cfRule type="expression" dxfId="1280" priority="1262">
      <formula>OR($Z43=2,$Z43=12,$Z43=123)</formula>
    </cfRule>
  </conditionalFormatting>
  <conditionalFormatting sqref="D32">
    <cfRule type="expression" dxfId="1279" priority="1261">
      <formula>$B32&lt;&gt;""</formula>
    </cfRule>
  </conditionalFormatting>
  <conditionalFormatting sqref="D32">
    <cfRule type="expression" dxfId="1278" priority="1260">
      <formula>OR($Z32=1,$Z32=12,$Z32=123)</formula>
    </cfRule>
  </conditionalFormatting>
  <conditionalFormatting sqref="A28:H28">
    <cfRule type="expression" dxfId="1277" priority="1259">
      <formula>$B28&lt;&gt;""</formula>
    </cfRule>
  </conditionalFormatting>
  <conditionalFormatting sqref="D28">
    <cfRule type="expression" dxfId="1276" priority="1258">
      <formula>OR($Z28=1,$Z28=12,$Z28=123)</formula>
    </cfRule>
  </conditionalFormatting>
  <conditionalFormatting sqref="E28">
    <cfRule type="expression" dxfId="1275" priority="1257">
      <formula>OR($Z28=2,$Z28=12,$Z28=123)</formula>
    </cfRule>
  </conditionalFormatting>
  <conditionalFormatting sqref="D29:E29">
    <cfRule type="expression" dxfId="1274" priority="1256">
      <formula>$B29&lt;&gt;""</formula>
    </cfRule>
  </conditionalFormatting>
  <conditionalFormatting sqref="D29">
    <cfRule type="expression" dxfId="1273" priority="1255">
      <formula>OR($Z29=1,$Z29=12,$Z29=123)</formula>
    </cfRule>
  </conditionalFormatting>
  <conditionalFormatting sqref="E29">
    <cfRule type="expression" dxfId="1272" priority="1254">
      <formula>OR($Z29=2,$Z29=12,$Z29=123)</formula>
    </cfRule>
  </conditionalFormatting>
  <conditionalFormatting sqref="D32:E32">
    <cfRule type="expression" dxfId="1271" priority="1253">
      <formula>$B32&lt;&gt;""</formula>
    </cfRule>
  </conditionalFormatting>
  <conditionalFormatting sqref="D32">
    <cfRule type="expression" dxfId="1270" priority="1252">
      <formula>OR($Z32=1,$Z32=12,$Z32=123)</formula>
    </cfRule>
  </conditionalFormatting>
  <conditionalFormatting sqref="E32">
    <cfRule type="expression" dxfId="1269" priority="1251">
      <formula>OR($Z32=2,$Z32=12,$Z32=123)</formula>
    </cfRule>
  </conditionalFormatting>
  <conditionalFormatting sqref="D30:E30">
    <cfRule type="expression" dxfId="1268" priority="1250">
      <formula>$B30&lt;&gt;""</formula>
    </cfRule>
  </conditionalFormatting>
  <conditionalFormatting sqref="D30">
    <cfRule type="expression" dxfId="1267" priority="1249">
      <formula>OR($Z30=1,$Z30=12,$Z30=123)</formula>
    </cfRule>
  </conditionalFormatting>
  <conditionalFormatting sqref="E30">
    <cfRule type="expression" dxfId="1266" priority="1248">
      <formula>OR($Z30=2,$Z30=12,$Z30=123)</formula>
    </cfRule>
  </conditionalFormatting>
  <conditionalFormatting sqref="D31:E31">
    <cfRule type="expression" dxfId="1265" priority="1247">
      <formula>$B31&lt;&gt;""</formula>
    </cfRule>
  </conditionalFormatting>
  <conditionalFormatting sqref="D31">
    <cfRule type="expression" dxfId="1264" priority="1246">
      <formula>OR($Z31=1,$Z31=12,$Z31=123)</formula>
    </cfRule>
  </conditionalFormatting>
  <conditionalFormatting sqref="E31">
    <cfRule type="expression" dxfId="1263" priority="1245">
      <formula>OR($Z31=2,$Z31=12,$Z31=123)</formula>
    </cfRule>
  </conditionalFormatting>
  <conditionalFormatting sqref="E33">
    <cfRule type="expression" dxfId="1262" priority="1244">
      <formula>$B33&lt;&gt;""</formula>
    </cfRule>
  </conditionalFormatting>
  <conditionalFormatting sqref="E33">
    <cfRule type="expression" dxfId="1261" priority="1243">
      <formula>OR($Z33=2,$Z33=12,$Z33=123)</formula>
    </cfRule>
  </conditionalFormatting>
  <conditionalFormatting sqref="D34:E34">
    <cfRule type="expression" dxfId="1260" priority="1242">
      <formula>$B34&lt;&gt;""</formula>
    </cfRule>
  </conditionalFormatting>
  <conditionalFormatting sqref="D34">
    <cfRule type="expression" dxfId="1259" priority="1241">
      <formula>OR($Z34=1,$Z34=12,$Z34=123)</formula>
    </cfRule>
  </conditionalFormatting>
  <conditionalFormatting sqref="E34">
    <cfRule type="expression" dxfId="1258" priority="1240">
      <formula>OR($Z34=2,$Z34=12,$Z34=123)</formula>
    </cfRule>
  </conditionalFormatting>
  <conditionalFormatting sqref="D33">
    <cfRule type="expression" dxfId="1257" priority="1239">
      <formula>$B33&lt;&gt;""</formula>
    </cfRule>
  </conditionalFormatting>
  <conditionalFormatting sqref="D33">
    <cfRule type="expression" dxfId="1256" priority="1238">
      <formula>OR($Z33=1,$Z33=12,$Z33=123)</formula>
    </cfRule>
  </conditionalFormatting>
  <conditionalFormatting sqref="A28:H28">
    <cfRule type="expression" dxfId="1255" priority="1237">
      <formula>$B28&lt;&gt;""</formula>
    </cfRule>
  </conditionalFormatting>
  <conditionalFormatting sqref="D28">
    <cfRule type="expression" dxfId="1254" priority="1236">
      <formula>OR($Z28=1,$Z28=12,$Z28=123)</formula>
    </cfRule>
  </conditionalFormatting>
  <conditionalFormatting sqref="E28">
    <cfRule type="expression" dxfId="1253" priority="1235">
      <formula>OR($Z28=2,$Z28=12,$Z28=123)</formula>
    </cfRule>
  </conditionalFormatting>
  <conditionalFormatting sqref="D29:E29">
    <cfRule type="expression" dxfId="1252" priority="1234">
      <formula>$B29&lt;&gt;""</formula>
    </cfRule>
  </conditionalFormatting>
  <conditionalFormatting sqref="D29">
    <cfRule type="expression" dxfId="1251" priority="1233">
      <formula>OR($Z29=1,$Z29=12,$Z29=123)</formula>
    </cfRule>
  </conditionalFormatting>
  <conditionalFormatting sqref="E29">
    <cfRule type="expression" dxfId="1250" priority="1232">
      <formula>OR($Z29=2,$Z29=12,$Z29=123)</formula>
    </cfRule>
  </conditionalFormatting>
  <conditionalFormatting sqref="D32:E32">
    <cfRule type="expression" dxfId="1249" priority="1231">
      <formula>$B32&lt;&gt;""</formula>
    </cfRule>
  </conditionalFormatting>
  <conditionalFormatting sqref="D32">
    <cfRule type="expression" dxfId="1248" priority="1230">
      <formula>OR($Z32=1,$Z32=12,$Z32=123)</formula>
    </cfRule>
  </conditionalFormatting>
  <conditionalFormatting sqref="E32">
    <cfRule type="expression" dxfId="1247" priority="1229">
      <formula>OR($Z32=2,$Z32=12,$Z32=123)</formula>
    </cfRule>
  </conditionalFormatting>
  <conditionalFormatting sqref="D30:E30">
    <cfRule type="expression" dxfId="1246" priority="1228">
      <formula>$B30&lt;&gt;""</formula>
    </cfRule>
  </conditionalFormatting>
  <conditionalFormatting sqref="D30">
    <cfRule type="expression" dxfId="1245" priority="1227">
      <formula>OR($Z30=1,$Z30=12,$Z30=123)</formula>
    </cfRule>
  </conditionalFormatting>
  <conditionalFormatting sqref="E30">
    <cfRule type="expression" dxfId="1244" priority="1226">
      <formula>OR($Z30=2,$Z30=12,$Z30=123)</formula>
    </cfRule>
  </conditionalFormatting>
  <conditionalFormatting sqref="D31:E31">
    <cfRule type="expression" dxfId="1243" priority="1225">
      <formula>$B31&lt;&gt;""</formula>
    </cfRule>
  </conditionalFormatting>
  <conditionalFormatting sqref="D31">
    <cfRule type="expression" dxfId="1242" priority="1224">
      <formula>OR($Z31=1,$Z31=12,$Z31=123)</formula>
    </cfRule>
  </conditionalFormatting>
  <conditionalFormatting sqref="E31">
    <cfRule type="expression" dxfId="1241" priority="1223">
      <formula>OR($Z31=2,$Z31=12,$Z31=123)</formula>
    </cfRule>
  </conditionalFormatting>
  <conditionalFormatting sqref="E33">
    <cfRule type="expression" dxfId="1240" priority="1222">
      <formula>$B33&lt;&gt;""</formula>
    </cfRule>
  </conditionalFormatting>
  <conditionalFormatting sqref="E33">
    <cfRule type="expression" dxfId="1239" priority="1221">
      <formula>OR($Z33=2,$Z33=12,$Z33=123)</formula>
    </cfRule>
  </conditionalFormatting>
  <conditionalFormatting sqref="D34:E34">
    <cfRule type="expression" dxfId="1238" priority="1220">
      <formula>$B34&lt;&gt;""</formula>
    </cfRule>
  </conditionalFormatting>
  <conditionalFormatting sqref="D34">
    <cfRule type="expression" dxfId="1237" priority="1219">
      <formula>OR($Z34=1,$Z34=12,$Z34=123)</formula>
    </cfRule>
  </conditionalFormatting>
  <conditionalFormatting sqref="E34">
    <cfRule type="expression" dxfId="1236" priority="1218">
      <formula>OR($Z34=2,$Z34=12,$Z34=123)</formula>
    </cfRule>
  </conditionalFormatting>
  <conditionalFormatting sqref="D36:E36">
    <cfRule type="expression" dxfId="1235" priority="1217">
      <formula>$B36&lt;&gt;""</formula>
    </cfRule>
  </conditionalFormatting>
  <conditionalFormatting sqref="D36">
    <cfRule type="expression" dxfId="1234" priority="1216">
      <formula>OR($Z36=1,$Z36=12,$Z36=123)</formula>
    </cfRule>
  </conditionalFormatting>
  <conditionalFormatting sqref="E36">
    <cfRule type="expression" dxfId="1233" priority="1215">
      <formula>OR($Z36=2,$Z36=12,$Z36=123)</formula>
    </cfRule>
  </conditionalFormatting>
  <conditionalFormatting sqref="D37:E37">
    <cfRule type="expression" dxfId="1232" priority="1214">
      <formula>$B37&lt;&gt;""</formula>
    </cfRule>
  </conditionalFormatting>
  <conditionalFormatting sqref="D37">
    <cfRule type="expression" dxfId="1231" priority="1213">
      <formula>OR($Z37=1,$Z37=12,$Z37=123)</formula>
    </cfRule>
  </conditionalFormatting>
  <conditionalFormatting sqref="E37">
    <cfRule type="expression" dxfId="1230" priority="1212">
      <formula>OR($Z37=2,$Z37=12,$Z37=123)</formula>
    </cfRule>
  </conditionalFormatting>
  <conditionalFormatting sqref="D39:E39">
    <cfRule type="expression" dxfId="1229" priority="1211">
      <formula>$B39&lt;&gt;""</formula>
    </cfRule>
  </conditionalFormatting>
  <conditionalFormatting sqref="D39">
    <cfRule type="expression" dxfId="1228" priority="1210">
      <formula>OR($Z39=1,$Z39=12,$Z39=123)</formula>
    </cfRule>
  </conditionalFormatting>
  <conditionalFormatting sqref="E39">
    <cfRule type="expression" dxfId="1227" priority="1209">
      <formula>OR($Z39=2,$Z39=12,$Z39=123)</formula>
    </cfRule>
  </conditionalFormatting>
  <conditionalFormatting sqref="D40:E40">
    <cfRule type="expression" dxfId="1226" priority="1208">
      <formula>$B40&lt;&gt;""</formula>
    </cfRule>
  </conditionalFormatting>
  <conditionalFormatting sqref="D40">
    <cfRule type="expression" dxfId="1225" priority="1207">
      <formula>OR($Z40=1,$Z40=12,$Z40=123)</formula>
    </cfRule>
  </conditionalFormatting>
  <conditionalFormatting sqref="E40">
    <cfRule type="expression" dxfId="1224" priority="1206">
      <formula>OR($Z40=2,$Z40=12,$Z40=123)</formula>
    </cfRule>
  </conditionalFormatting>
  <conditionalFormatting sqref="D41:E41">
    <cfRule type="expression" dxfId="1223" priority="1205">
      <formula>$B41&lt;&gt;""</formula>
    </cfRule>
  </conditionalFormatting>
  <conditionalFormatting sqref="D41">
    <cfRule type="expression" dxfId="1222" priority="1204">
      <formula>OR($Z41=1,$Z41=12,$Z41=123)</formula>
    </cfRule>
  </conditionalFormatting>
  <conditionalFormatting sqref="E41">
    <cfRule type="expression" dxfId="1221" priority="1203">
      <formula>OR($Z41=2,$Z41=12,$Z41=123)</formula>
    </cfRule>
  </conditionalFormatting>
  <conditionalFormatting sqref="D43:E43">
    <cfRule type="expression" dxfId="1220" priority="1202">
      <formula>$B43&lt;&gt;""</formula>
    </cfRule>
  </conditionalFormatting>
  <conditionalFormatting sqref="D43">
    <cfRule type="expression" dxfId="1219" priority="1201">
      <formula>OR($Z43=1,$Z43=12,$Z43=123)</formula>
    </cfRule>
  </conditionalFormatting>
  <conditionalFormatting sqref="E43">
    <cfRule type="expression" dxfId="1218" priority="1200">
      <formula>OR($Z43=2,$Z43=12,$Z43=123)</formula>
    </cfRule>
  </conditionalFormatting>
  <conditionalFormatting sqref="D44:E44">
    <cfRule type="expression" dxfId="1217" priority="1199">
      <formula>$B44&lt;&gt;""</formula>
    </cfRule>
  </conditionalFormatting>
  <conditionalFormatting sqref="D44">
    <cfRule type="expression" dxfId="1216" priority="1198">
      <formula>OR($Z44=1,$Z44=12,$Z44=123)</formula>
    </cfRule>
  </conditionalFormatting>
  <conditionalFormatting sqref="E44">
    <cfRule type="expression" dxfId="1215" priority="1197">
      <formula>OR($Z44=2,$Z44=12,$Z44=123)</formula>
    </cfRule>
  </conditionalFormatting>
  <conditionalFormatting sqref="D33">
    <cfRule type="expression" dxfId="1214" priority="1196">
      <formula>$B33&lt;&gt;""</formula>
    </cfRule>
  </conditionalFormatting>
  <conditionalFormatting sqref="D33">
    <cfRule type="expression" dxfId="1213" priority="1195">
      <formula>OR($Z33=1,$Z33=12,$Z33=123)</formula>
    </cfRule>
  </conditionalFormatting>
  <conditionalFormatting sqref="A29:H29">
    <cfRule type="expression" dxfId="1212" priority="1194">
      <formula>$B29&lt;&gt;""</formula>
    </cfRule>
  </conditionalFormatting>
  <conditionalFormatting sqref="D29">
    <cfRule type="expression" dxfId="1211" priority="1193">
      <formula>OR($Z29=1,$Z29=12,$Z29=123)</formula>
    </cfRule>
  </conditionalFormatting>
  <conditionalFormatting sqref="E29">
    <cfRule type="expression" dxfId="1210" priority="1192">
      <formula>OR($Z29=2,$Z29=12,$Z29=123)</formula>
    </cfRule>
  </conditionalFormatting>
  <conditionalFormatting sqref="D30:E30">
    <cfRule type="expression" dxfId="1209" priority="1191">
      <formula>$B30&lt;&gt;""</formula>
    </cfRule>
  </conditionalFormatting>
  <conditionalFormatting sqref="D30">
    <cfRule type="expression" dxfId="1208" priority="1190">
      <formula>OR($Z30=1,$Z30=12,$Z30=123)</formula>
    </cfRule>
  </conditionalFormatting>
  <conditionalFormatting sqref="E30">
    <cfRule type="expression" dxfId="1207" priority="1189">
      <formula>OR($Z30=2,$Z30=12,$Z30=123)</formula>
    </cfRule>
  </conditionalFormatting>
  <conditionalFormatting sqref="D33:E33">
    <cfRule type="expression" dxfId="1206" priority="1188">
      <formula>$B33&lt;&gt;""</formula>
    </cfRule>
  </conditionalFormatting>
  <conditionalFormatting sqref="D33">
    <cfRule type="expression" dxfId="1205" priority="1187">
      <formula>OR($Z33=1,$Z33=12,$Z33=123)</formula>
    </cfRule>
  </conditionalFormatting>
  <conditionalFormatting sqref="E33">
    <cfRule type="expression" dxfId="1204" priority="1186">
      <formula>OR($Z33=2,$Z33=12,$Z33=123)</formula>
    </cfRule>
  </conditionalFormatting>
  <conditionalFormatting sqref="D31:E31">
    <cfRule type="expression" dxfId="1203" priority="1185">
      <formula>$B31&lt;&gt;""</formula>
    </cfRule>
  </conditionalFormatting>
  <conditionalFormatting sqref="D31">
    <cfRule type="expression" dxfId="1202" priority="1184">
      <formula>OR($Z31=1,$Z31=12,$Z31=123)</formula>
    </cfRule>
  </conditionalFormatting>
  <conditionalFormatting sqref="E31">
    <cfRule type="expression" dxfId="1201" priority="1183">
      <formula>OR($Z31=2,$Z31=12,$Z31=123)</formula>
    </cfRule>
  </conditionalFormatting>
  <conditionalFormatting sqref="D32:E32">
    <cfRule type="expression" dxfId="1200" priority="1182">
      <formula>$B32&lt;&gt;""</formula>
    </cfRule>
  </conditionalFormatting>
  <conditionalFormatting sqref="D32">
    <cfRule type="expression" dxfId="1199" priority="1181">
      <formula>OR($Z32=1,$Z32=12,$Z32=123)</formula>
    </cfRule>
  </conditionalFormatting>
  <conditionalFormatting sqref="E32">
    <cfRule type="expression" dxfId="1198" priority="1180">
      <formula>OR($Z32=2,$Z32=12,$Z32=123)</formula>
    </cfRule>
  </conditionalFormatting>
  <conditionalFormatting sqref="E34">
    <cfRule type="expression" dxfId="1197" priority="1179">
      <formula>$B34&lt;&gt;""</formula>
    </cfRule>
  </conditionalFormatting>
  <conditionalFormatting sqref="E34">
    <cfRule type="expression" dxfId="1196" priority="1178">
      <formula>OR($Z34=2,$Z34=12,$Z34=123)</formula>
    </cfRule>
  </conditionalFormatting>
  <conditionalFormatting sqref="D35:E35">
    <cfRule type="expression" dxfId="1195" priority="1177">
      <formula>$B35&lt;&gt;""</formula>
    </cfRule>
  </conditionalFormatting>
  <conditionalFormatting sqref="D35">
    <cfRule type="expression" dxfId="1194" priority="1176">
      <formula>OR($Z35=1,$Z35=12,$Z35=123)</formula>
    </cfRule>
  </conditionalFormatting>
  <conditionalFormatting sqref="E35">
    <cfRule type="expression" dxfId="1193" priority="1175">
      <formula>OR($Z35=2,$Z35=12,$Z35=123)</formula>
    </cfRule>
  </conditionalFormatting>
  <conditionalFormatting sqref="D34">
    <cfRule type="expression" dxfId="1192" priority="1174">
      <formula>$B34&lt;&gt;""</formula>
    </cfRule>
  </conditionalFormatting>
  <conditionalFormatting sqref="D34">
    <cfRule type="expression" dxfId="1191" priority="1173">
      <formula>OR($Z34=1,$Z34=12,$Z34=123)</formula>
    </cfRule>
  </conditionalFormatting>
  <conditionalFormatting sqref="D33:E33">
    <cfRule type="expression" dxfId="1190" priority="1172">
      <formula>$B33&lt;&gt;""</formula>
    </cfRule>
  </conditionalFormatting>
  <conditionalFormatting sqref="D33">
    <cfRule type="expression" dxfId="1189" priority="1171">
      <formula>OR($Z33=1,$Z33=12,$Z33=123)</formula>
    </cfRule>
  </conditionalFormatting>
  <conditionalFormatting sqref="E33">
    <cfRule type="expression" dxfId="1188" priority="1170">
      <formula>OR($Z33=2,$Z33=12,$Z33=123)</formula>
    </cfRule>
  </conditionalFormatting>
  <conditionalFormatting sqref="D34:E34">
    <cfRule type="expression" dxfId="1187" priority="1169">
      <formula>$B34&lt;&gt;""</formula>
    </cfRule>
  </conditionalFormatting>
  <conditionalFormatting sqref="D34">
    <cfRule type="expression" dxfId="1186" priority="1168">
      <formula>OR($Z34=1,$Z34=12,$Z34=123)</formula>
    </cfRule>
  </conditionalFormatting>
  <conditionalFormatting sqref="E34">
    <cfRule type="expression" dxfId="1185" priority="1167">
      <formula>OR($Z34=2,$Z34=12,$Z34=123)</formula>
    </cfRule>
  </conditionalFormatting>
  <conditionalFormatting sqref="D36:E36">
    <cfRule type="expression" dxfId="1184" priority="1166">
      <formula>$B36&lt;&gt;""</formula>
    </cfRule>
  </conditionalFormatting>
  <conditionalFormatting sqref="D36">
    <cfRule type="expression" dxfId="1183" priority="1165">
      <formula>OR($Z36=1,$Z36=12,$Z36=123)</formula>
    </cfRule>
  </conditionalFormatting>
  <conditionalFormatting sqref="E36">
    <cfRule type="expression" dxfId="1182" priority="1164">
      <formula>OR($Z36=2,$Z36=12,$Z36=123)</formula>
    </cfRule>
  </conditionalFormatting>
  <conditionalFormatting sqref="D37:E37">
    <cfRule type="expression" dxfId="1181" priority="1163">
      <formula>$B37&lt;&gt;""</formula>
    </cfRule>
  </conditionalFormatting>
  <conditionalFormatting sqref="D37">
    <cfRule type="expression" dxfId="1180" priority="1162">
      <formula>OR($Z37=1,$Z37=12,$Z37=123)</formula>
    </cfRule>
  </conditionalFormatting>
  <conditionalFormatting sqref="E37">
    <cfRule type="expression" dxfId="1179" priority="1161">
      <formula>OR($Z37=2,$Z37=12,$Z37=123)</formula>
    </cfRule>
  </conditionalFormatting>
  <conditionalFormatting sqref="D38:E38">
    <cfRule type="expression" dxfId="1178" priority="1160">
      <formula>$B38&lt;&gt;""</formula>
    </cfRule>
  </conditionalFormatting>
  <conditionalFormatting sqref="D38">
    <cfRule type="expression" dxfId="1177" priority="1159">
      <formula>OR($Z38=1,$Z38=12,$Z38=123)</formula>
    </cfRule>
  </conditionalFormatting>
  <conditionalFormatting sqref="E38">
    <cfRule type="expression" dxfId="1176" priority="1158">
      <formula>OR($Z38=2,$Z38=12,$Z38=123)</formula>
    </cfRule>
  </conditionalFormatting>
  <conditionalFormatting sqref="D40:E40">
    <cfRule type="expression" dxfId="1175" priority="1157">
      <formula>$B40&lt;&gt;""</formula>
    </cfRule>
  </conditionalFormatting>
  <conditionalFormatting sqref="D40">
    <cfRule type="expression" dxfId="1174" priority="1156">
      <formula>OR($Z40=1,$Z40=12,$Z40=123)</formula>
    </cfRule>
  </conditionalFormatting>
  <conditionalFormatting sqref="E40">
    <cfRule type="expression" dxfId="1173" priority="1155">
      <formula>OR($Z40=2,$Z40=12,$Z40=123)</formula>
    </cfRule>
  </conditionalFormatting>
  <conditionalFormatting sqref="D41:E41">
    <cfRule type="expression" dxfId="1172" priority="1154">
      <formula>$B41&lt;&gt;""</formula>
    </cfRule>
  </conditionalFormatting>
  <conditionalFormatting sqref="D41">
    <cfRule type="expression" dxfId="1171" priority="1153">
      <formula>OR($Z41=1,$Z41=12,$Z41=123)</formula>
    </cfRule>
  </conditionalFormatting>
  <conditionalFormatting sqref="E41">
    <cfRule type="expression" dxfId="1170" priority="1152">
      <formula>OR($Z41=2,$Z41=12,$Z41=123)</formula>
    </cfRule>
  </conditionalFormatting>
  <conditionalFormatting sqref="D43:E43">
    <cfRule type="expression" dxfId="1169" priority="1151">
      <formula>$B43&lt;&gt;""</formula>
    </cfRule>
  </conditionalFormatting>
  <conditionalFormatting sqref="D43">
    <cfRule type="expression" dxfId="1168" priority="1150">
      <formula>OR($Z43=1,$Z43=12,$Z43=123)</formula>
    </cfRule>
  </conditionalFormatting>
  <conditionalFormatting sqref="E43">
    <cfRule type="expression" dxfId="1167" priority="1149">
      <formula>OR($Z43=2,$Z43=12,$Z43=123)</formula>
    </cfRule>
  </conditionalFormatting>
  <conditionalFormatting sqref="D34:E34">
    <cfRule type="expression" dxfId="1166" priority="1148">
      <formula>$B34&lt;&gt;""</formula>
    </cfRule>
  </conditionalFormatting>
  <conditionalFormatting sqref="D34">
    <cfRule type="expression" dxfId="1165" priority="1147">
      <formula>OR($Z34=1,$Z34=12,$Z34=123)</formula>
    </cfRule>
  </conditionalFormatting>
  <conditionalFormatting sqref="E34">
    <cfRule type="expression" dxfId="1164" priority="1146">
      <formula>OR($Z34=2,$Z34=12,$Z34=123)</formula>
    </cfRule>
  </conditionalFormatting>
  <conditionalFormatting sqref="D35:E35">
    <cfRule type="expression" dxfId="1163" priority="1145">
      <formula>$B35&lt;&gt;""</formula>
    </cfRule>
  </conditionalFormatting>
  <conditionalFormatting sqref="D35">
    <cfRule type="expression" dxfId="1162" priority="1144">
      <formula>OR($Z35=1,$Z35=12,$Z35=123)</formula>
    </cfRule>
  </conditionalFormatting>
  <conditionalFormatting sqref="E35">
    <cfRule type="expression" dxfId="1161" priority="1143">
      <formula>OR($Z35=2,$Z35=12,$Z35=123)</formula>
    </cfRule>
  </conditionalFormatting>
  <conditionalFormatting sqref="D37:E37">
    <cfRule type="expression" dxfId="1160" priority="1142">
      <formula>$B37&lt;&gt;""</formula>
    </cfRule>
  </conditionalFormatting>
  <conditionalFormatting sqref="D37">
    <cfRule type="expression" dxfId="1159" priority="1141">
      <formula>OR($Z37=1,$Z37=12,$Z37=123)</formula>
    </cfRule>
  </conditionalFormatting>
  <conditionalFormatting sqref="E37">
    <cfRule type="expression" dxfId="1158" priority="1140">
      <formula>OR($Z37=2,$Z37=12,$Z37=123)</formula>
    </cfRule>
  </conditionalFormatting>
  <conditionalFormatting sqref="D38:E38">
    <cfRule type="expression" dxfId="1157" priority="1139">
      <formula>$B38&lt;&gt;""</formula>
    </cfRule>
  </conditionalFormatting>
  <conditionalFormatting sqref="D38">
    <cfRule type="expression" dxfId="1156" priority="1138">
      <formula>OR($Z38=1,$Z38=12,$Z38=123)</formula>
    </cfRule>
  </conditionalFormatting>
  <conditionalFormatting sqref="E38">
    <cfRule type="expression" dxfId="1155" priority="1137">
      <formula>OR($Z38=2,$Z38=12,$Z38=123)</formula>
    </cfRule>
  </conditionalFormatting>
  <conditionalFormatting sqref="D39:E39">
    <cfRule type="expression" dxfId="1154" priority="1136">
      <formula>$B39&lt;&gt;""</formula>
    </cfRule>
  </conditionalFormatting>
  <conditionalFormatting sqref="D39">
    <cfRule type="expression" dxfId="1153" priority="1135">
      <formula>OR($Z39=1,$Z39=12,$Z39=123)</formula>
    </cfRule>
  </conditionalFormatting>
  <conditionalFormatting sqref="E39">
    <cfRule type="expression" dxfId="1152" priority="1134">
      <formula>OR($Z39=2,$Z39=12,$Z39=123)</formula>
    </cfRule>
  </conditionalFormatting>
  <conditionalFormatting sqref="D41:E41">
    <cfRule type="expression" dxfId="1151" priority="1133">
      <formula>$B41&lt;&gt;""</formula>
    </cfRule>
  </conditionalFormatting>
  <conditionalFormatting sqref="D41">
    <cfRule type="expression" dxfId="1150" priority="1132">
      <formula>OR($Z41=1,$Z41=12,$Z41=123)</formula>
    </cfRule>
  </conditionalFormatting>
  <conditionalFormatting sqref="E41">
    <cfRule type="expression" dxfId="1149" priority="1131">
      <formula>OR($Z41=2,$Z41=12,$Z41=123)</formula>
    </cfRule>
  </conditionalFormatting>
  <conditionalFormatting sqref="D42:E42">
    <cfRule type="expression" dxfId="1148" priority="1130">
      <formula>$B42&lt;&gt;""</formula>
    </cfRule>
  </conditionalFormatting>
  <conditionalFormatting sqref="D42">
    <cfRule type="expression" dxfId="1147" priority="1129">
      <formula>OR($Z42=1,$Z42=12,$Z42=123)</formula>
    </cfRule>
  </conditionalFormatting>
  <conditionalFormatting sqref="E42">
    <cfRule type="expression" dxfId="1146" priority="1128">
      <formula>OR($Z42=2,$Z42=12,$Z42=123)</formula>
    </cfRule>
  </conditionalFormatting>
  <conditionalFormatting sqref="D33:E33">
    <cfRule type="expression" dxfId="1145" priority="1127">
      <formula>$B33&lt;&gt;""</formula>
    </cfRule>
  </conditionalFormatting>
  <conditionalFormatting sqref="D33">
    <cfRule type="expression" dxfId="1144" priority="1126">
      <formula>OR($Z33=1,$Z33=12,$Z33=123)</formula>
    </cfRule>
  </conditionalFormatting>
  <conditionalFormatting sqref="E33">
    <cfRule type="expression" dxfId="1143" priority="1125">
      <formula>OR($Z33=2,$Z33=12,$Z33=123)</formula>
    </cfRule>
  </conditionalFormatting>
  <conditionalFormatting sqref="D34:E34">
    <cfRule type="expression" dxfId="1142" priority="1124">
      <formula>$B34&lt;&gt;""</formula>
    </cfRule>
  </conditionalFormatting>
  <conditionalFormatting sqref="D34">
    <cfRule type="expression" dxfId="1141" priority="1123">
      <formula>OR($Z34=1,$Z34=12,$Z34=123)</formula>
    </cfRule>
  </conditionalFormatting>
  <conditionalFormatting sqref="E34">
    <cfRule type="expression" dxfId="1140" priority="1122">
      <formula>OR($Z34=2,$Z34=12,$Z34=123)</formula>
    </cfRule>
  </conditionalFormatting>
  <conditionalFormatting sqref="D35:E35">
    <cfRule type="expression" dxfId="1139" priority="1121">
      <formula>$B35&lt;&gt;""</formula>
    </cfRule>
  </conditionalFormatting>
  <conditionalFormatting sqref="D35">
    <cfRule type="expression" dxfId="1138" priority="1120">
      <formula>OR($Z35=1,$Z35=12,$Z35=123)</formula>
    </cfRule>
  </conditionalFormatting>
  <conditionalFormatting sqref="E35">
    <cfRule type="expression" dxfId="1137" priority="1119">
      <formula>OR($Z35=2,$Z35=12,$Z35=123)</formula>
    </cfRule>
  </conditionalFormatting>
  <conditionalFormatting sqref="D37:E37">
    <cfRule type="expression" dxfId="1136" priority="1118">
      <formula>$B37&lt;&gt;""</formula>
    </cfRule>
  </conditionalFormatting>
  <conditionalFormatting sqref="D37">
    <cfRule type="expression" dxfId="1135" priority="1117">
      <formula>OR($Z37=1,$Z37=12,$Z37=123)</formula>
    </cfRule>
  </conditionalFormatting>
  <conditionalFormatting sqref="E37">
    <cfRule type="expression" dxfId="1134" priority="1116">
      <formula>OR($Z37=2,$Z37=12,$Z37=123)</formula>
    </cfRule>
  </conditionalFormatting>
  <conditionalFormatting sqref="D38:E38">
    <cfRule type="expression" dxfId="1133" priority="1115">
      <formula>$B38&lt;&gt;""</formula>
    </cfRule>
  </conditionalFormatting>
  <conditionalFormatting sqref="D38">
    <cfRule type="expression" dxfId="1132" priority="1114">
      <formula>OR($Z38=1,$Z38=12,$Z38=123)</formula>
    </cfRule>
  </conditionalFormatting>
  <conditionalFormatting sqref="E38">
    <cfRule type="expression" dxfId="1131" priority="1113">
      <formula>OR($Z38=2,$Z38=12,$Z38=123)</formula>
    </cfRule>
  </conditionalFormatting>
  <conditionalFormatting sqref="D39:E39">
    <cfRule type="expression" dxfId="1130" priority="1112">
      <formula>$B39&lt;&gt;""</formula>
    </cfRule>
  </conditionalFormatting>
  <conditionalFormatting sqref="D39">
    <cfRule type="expression" dxfId="1129" priority="1111">
      <formula>OR($Z39=1,$Z39=12,$Z39=123)</formula>
    </cfRule>
  </conditionalFormatting>
  <conditionalFormatting sqref="E39">
    <cfRule type="expression" dxfId="1128" priority="1110">
      <formula>OR($Z39=2,$Z39=12,$Z39=123)</formula>
    </cfRule>
  </conditionalFormatting>
  <conditionalFormatting sqref="D41:E41">
    <cfRule type="expression" dxfId="1127" priority="1109">
      <formula>$B41&lt;&gt;""</formula>
    </cfRule>
  </conditionalFormatting>
  <conditionalFormatting sqref="D41">
    <cfRule type="expression" dxfId="1126" priority="1108">
      <formula>OR($Z41=1,$Z41=12,$Z41=123)</formula>
    </cfRule>
  </conditionalFormatting>
  <conditionalFormatting sqref="E41">
    <cfRule type="expression" dxfId="1125" priority="1107">
      <formula>OR($Z41=2,$Z41=12,$Z41=123)</formula>
    </cfRule>
  </conditionalFormatting>
  <conditionalFormatting sqref="D42:E42">
    <cfRule type="expression" dxfId="1124" priority="1106">
      <formula>$B42&lt;&gt;""</formula>
    </cfRule>
  </conditionalFormatting>
  <conditionalFormatting sqref="D42">
    <cfRule type="expression" dxfId="1123" priority="1105">
      <formula>OR($Z42=1,$Z42=12,$Z42=123)</formula>
    </cfRule>
  </conditionalFormatting>
  <conditionalFormatting sqref="E42">
    <cfRule type="expression" dxfId="1122" priority="1104">
      <formula>OR($Z42=2,$Z42=12,$Z42=123)</formula>
    </cfRule>
  </conditionalFormatting>
  <conditionalFormatting sqref="D33:E33">
    <cfRule type="expression" dxfId="1121" priority="1103">
      <formula>$B33&lt;&gt;""</formula>
    </cfRule>
  </conditionalFormatting>
  <conditionalFormatting sqref="D33">
    <cfRule type="expression" dxfId="1120" priority="1102">
      <formula>OR($Z33=1,$Z33=12,$Z33=123)</formula>
    </cfRule>
  </conditionalFormatting>
  <conditionalFormatting sqref="E33">
    <cfRule type="expression" dxfId="1119" priority="1101">
      <formula>OR($Z33=2,$Z33=12,$Z33=123)</formula>
    </cfRule>
  </conditionalFormatting>
  <conditionalFormatting sqref="D33:E33">
    <cfRule type="expression" dxfId="1118" priority="1100">
      <formula>$B33&lt;&gt;""</formula>
    </cfRule>
  </conditionalFormatting>
  <conditionalFormatting sqref="D33">
    <cfRule type="expression" dxfId="1117" priority="1099">
      <formula>OR($Z33=1,$Z33=12,$Z33=123)</formula>
    </cfRule>
  </conditionalFormatting>
  <conditionalFormatting sqref="E33">
    <cfRule type="expression" dxfId="1116" priority="1098">
      <formula>OR($Z33=2,$Z33=12,$Z33=123)</formula>
    </cfRule>
  </conditionalFormatting>
  <conditionalFormatting sqref="D35:E35">
    <cfRule type="expression" dxfId="1115" priority="1097">
      <formula>$B35&lt;&gt;""</formula>
    </cfRule>
  </conditionalFormatting>
  <conditionalFormatting sqref="D35">
    <cfRule type="expression" dxfId="1114" priority="1096">
      <formula>OR($Z35=1,$Z35=12,$Z35=123)</formula>
    </cfRule>
  </conditionalFormatting>
  <conditionalFormatting sqref="E35">
    <cfRule type="expression" dxfId="1113" priority="1095">
      <formula>OR($Z35=2,$Z35=12,$Z35=123)</formula>
    </cfRule>
  </conditionalFormatting>
  <conditionalFormatting sqref="D36:E36">
    <cfRule type="expression" dxfId="1112" priority="1094">
      <formula>$B36&lt;&gt;""</formula>
    </cfRule>
  </conditionalFormatting>
  <conditionalFormatting sqref="D36">
    <cfRule type="expression" dxfId="1111" priority="1093">
      <formula>OR($Z36=1,$Z36=12,$Z36=123)</formula>
    </cfRule>
  </conditionalFormatting>
  <conditionalFormatting sqref="E36">
    <cfRule type="expression" dxfId="1110" priority="1092">
      <formula>OR($Z36=2,$Z36=12,$Z36=123)</formula>
    </cfRule>
  </conditionalFormatting>
  <conditionalFormatting sqref="D38:E38">
    <cfRule type="expression" dxfId="1109" priority="1091">
      <formula>$B38&lt;&gt;""</formula>
    </cfRule>
  </conditionalFormatting>
  <conditionalFormatting sqref="D38">
    <cfRule type="expression" dxfId="1108" priority="1090">
      <formula>OR($Z38=1,$Z38=12,$Z38=123)</formula>
    </cfRule>
  </conditionalFormatting>
  <conditionalFormatting sqref="E38">
    <cfRule type="expression" dxfId="1107" priority="1089">
      <formula>OR($Z38=2,$Z38=12,$Z38=123)</formula>
    </cfRule>
  </conditionalFormatting>
  <conditionalFormatting sqref="D39:E39">
    <cfRule type="expression" dxfId="1106" priority="1088">
      <formula>$B39&lt;&gt;""</formula>
    </cfRule>
  </conditionalFormatting>
  <conditionalFormatting sqref="D39">
    <cfRule type="expression" dxfId="1105" priority="1087">
      <formula>OR($Z39=1,$Z39=12,$Z39=123)</formula>
    </cfRule>
  </conditionalFormatting>
  <conditionalFormatting sqref="E39">
    <cfRule type="expression" dxfId="1104" priority="1086">
      <formula>OR($Z39=2,$Z39=12,$Z39=123)</formula>
    </cfRule>
  </conditionalFormatting>
  <conditionalFormatting sqref="D40:E40">
    <cfRule type="expression" dxfId="1103" priority="1085">
      <formula>$B40&lt;&gt;""</formula>
    </cfRule>
  </conditionalFormatting>
  <conditionalFormatting sqref="D40">
    <cfRule type="expression" dxfId="1102" priority="1084">
      <formula>OR($Z40=1,$Z40=12,$Z40=123)</formula>
    </cfRule>
  </conditionalFormatting>
  <conditionalFormatting sqref="E40">
    <cfRule type="expression" dxfId="1101" priority="1083">
      <formula>OR($Z40=2,$Z40=12,$Z40=123)</formula>
    </cfRule>
  </conditionalFormatting>
  <conditionalFormatting sqref="D42:E42">
    <cfRule type="expression" dxfId="1100" priority="1082">
      <formula>$B42&lt;&gt;""</formula>
    </cfRule>
  </conditionalFormatting>
  <conditionalFormatting sqref="D42">
    <cfRule type="expression" dxfId="1099" priority="1081">
      <formula>OR($Z42=1,$Z42=12,$Z42=123)</formula>
    </cfRule>
  </conditionalFormatting>
  <conditionalFormatting sqref="E42">
    <cfRule type="expression" dxfId="1098" priority="1080">
      <formula>OR($Z42=2,$Z42=12,$Z42=123)</formula>
    </cfRule>
  </conditionalFormatting>
  <conditionalFormatting sqref="D43:E43">
    <cfRule type="expression" dxfId="1097" priority="1079">
      <formula>$B43&lt;&gt;""</formula>
    </cfRule>
  </conditionalFormatting>
  <conditionalFormatting sqref="D43">
    <cfRule type="expression" dxfId="1096" priority="1078">
      <formula>OR($Z43=1,$Z43=12,$Z43=123)</formula>
    </cfRule>
  </conditionalFormatting>
  <conditionalFormatting sqref="E43">
    <cfRule type="expression" dxfId="1095" priority="1077">
      <formula>OR($Z43=2,$Z43=12,$Z43=123)</formula>
    </cfRule>
  </conditionalFormatting>
  <conditionalFormatting sqref="E33">
    <cfRule type="expression" dxfId="1094" priority="1076">
      <formula>$B33&lt;&gt;""</formula>
    </cfRule>
  </conditionalFormatting>
  <conditionalFormatting sqref="E33">
    <cfRule type="expression" dxfId="1093" priority="1075">
      <formula>OR($Z33=2,$Z33=12,$Z33=123)</formula>
    </cfRule>
  </conditionalFormatting>
  <conditionalFormatting sqref="D34:E34">
    <cfRule type="expression" dxfId="1092" priority="1074">
      <formula>$B34&lt;&gt;""</formula>
    </cfRule>
  </conditionalFormatting>
  <conditionalFormatting sqref="D34">
    <cfRule type="expression" dxfId="1091" priority="1073">
      <formula>OR($Z34=1,$Z34=12,$Z34=123)</formula>
    </cfRule>
  </conditionalFormatting>
  <conditionalFormatting sqref="E34">
    <cfRule type="expression" dxfId="1090" priority="1072">
      <formula>OR($Z34=2,$Z34=12,$Z34=123)</formula>
    </cfRule>
  </conditionalFormatting>
  <conditionalFormatting sqref="D33">
    <cfRule type="expression" dxfId="1089" priority="1071">
      <formula>$B33&lt;&gt;""</formula>
    </cfRule>
  </conditionalFormatting>
  <conditionalFormatting sqref="D33">
    <cfRule type="expression" dxfId="1088" priority="1070">
      <formula>OR($Z33=1,$Z33=12,$Z33=123)</formula>
    </cfRule>
  </conditionalFormatting>
  <conditionalFormatting sqref="D19:E19">
    <cfRule type="expression" dxfId="1087" priority="1069">
      <formula>$B19&lt;&gt;""</formula>
    </cfRule>
  </conditionalFormatting>
  <conditionalFormatting sqref="D19">
    <cfRule type="expression" dxfId="1086" priority="1068">
      <formula>OR($Z19=1,$Z19=12,$Z19=123)</formula>
    </cfRule>
  </conditionalFormatting>
  <conditionalFormatting sqref="E19">
    <cfRule type="expression" dxfId="1085" priority="1067">
      <formula>OR($Z19=2,$Z19=12,$Z19=123)</formula>
    </cfRule>
  </conditionalFormatting>
  <conditionalFormatting sqref="D17:E17">
    <cfRule type="expression" dxfId="1084" priority="1066">
      <formula>$B17&lt;&gt;""</formula>
    </cfRule>
  </conditionalFormatting>
  <conditionalFormatting sqref="D17">
    <cfRule type="expression" dxfId="1083" priority="1065">
      <formula>OR($Z17=1,$Z17=12,$Z17=123)</formula>
    </cfRule>
  </conditionalFormatting>
  <conditionalFormatting sqref="E17">
    <cfRule type="expression" dxfId="1082" priority="1064">
      <formula>OR($Z17=2,$Z17=12,$Z17=123)</formula>
    </cfRule>
  </conditionalFormatting>
  <conditionalFormatting sqref="D18:E18">
    <cfRule type="expression" dxfId="1081" priority="1063">
      <formula>$B18&lt;&gt;""</formula>
    </cfRule>
  </conditionalFormatting>
  <conditionalFormatting sqref="D18">
    <cfRule type="expression" dxfId="1080" priority="1062">
      <formula>OR($Z18=1,$Z18=12,$Z18=123)</formula>
    </cfRule>
  </conditionalFormatting>
  <conditionalFormatting sqref="E18">
    <cfRule type="expression" dxfId="1079" priority="1061">
      <formula>OR($Z18=2,$Z18=12,$Z18=123)</formula>
    </cfRule>
  </conditionalFormatting>
  <conditionalFormatting sqref="E20">
    <cfRule type="expression" dxfId="1078" priority="1060">
      <formula>$B20&lt;&gt;""</formula>
    </cfRule>
  </conditionalFormatting>
  <conditionalFormatting sqref="E20">
    <cfRule type="expression" dxfId="1077" priority="1059">
      <formula>OR($Z20=2,$Z20=12,$Z20=123)</formula>
    </cfRule>
  </conditionalFormatting>
  <conditionalFormatting sqref="D21:E21">
    <cfRule type="expression" dxfId="1076" priority="1058">
      <formula>$B21&lt;&gt;""</formula>
    </cfRule>
  </conditionalFormatting>
  <conditionalFormatting sqref="D21">
    <cfRule type="expression" dxfId="1075" priority="1057">
      <formula>OR($Z21=1,$Z21=12,$Z21=123)</formula>
    </cfRule>
  </conditionalFormatting>
  <conditionalFormatting sqref="E21">
    <cfRule type="expression" dxfId="1074" priority="1056">
      <formula>OR($Z21=2,$Z21=12,$Z21=123)</formula>
    </cfRule>
  </conditionalFormatting>
  <conditionalFormatting sqref="D23:E23">
    <cfRule type="expression" dxfId="1073" priority="1055">
      <formula>$B23&lt;&gt;""</formula>
    </cfRule>
  </conditionalFormatting>
  <conditionalFormatting sqref="D23">
    <cfRule type="expression" dxfId="1072" priority="1054">
      <formula>OR($Z23=1,$Z23=12,$Z23=123)</formula>
    </cfRule>
  </conditionalFormatting>
  <conditionalFormatting sqref="E23">
    <cfRule type="expression" dxfId="1071" priority="1053">
      <formula>OR($Z23=2,$Z23=12,$Z23=123)</formula>
    </cfRule>
  </conditionalFormatting>
  <conditionalFormatting sqref="D24:E24">
    <cfRule type="expression" dxfId="1070" priority="1052">
      <formula>$B24&lt;&gt;""</formula>
    </cfRule>
  </conditionalFormatting>
  <conditionalFormatting sqref="D24">
    <cfRule type="expression" dxfId="1069" priority="1051">
      <formula>OR($Z24=1,$Z24=12,$Z24=123)</formula>
    </cfRule>
  </conditionalFormatting>
  <conditionalFormatting sqref="E24">
    <cfRule type="expression" dxfId="1068" priority="1050">
      <formula>OR($Z24=2,$Z24=12,$Z24=123)</formula>
    </cfRule>
  </conditionalFormatting>
  <conditionalFormatting sqref="D26:E26">
    <cfRule type="expression" dxfId="1067" priority="1049">
      <formula>$B26&lt;&gt;""</formula>
    </cfRule>
  </conditionalFormatting>
  <conditionalFormatting sqref="D26">
    <cfRule type="expression" dxfId="1066" priority="1048">
      <formula>OR($Z26=1,$Z26=12,$Z26=123)</formula>
    </cfRule>
  </conditionalFormatting>
  <conditionalFormatting sqref="E26">
    <cfRule type="expression" dxfId="1065" priority="1047">
      <formula>OR($Z26=2,$Z26=12,$Z26=123)</formula>
    </cfRule>
  </conditionalFormatting>
  <conditionalFormatting sqref="D20">
    <cfRule type="expression" dxfId="1064" priority="1046">
      <formula>$B20&lt;&gt;""</formula>
    </cfRule>
  </conditionalFormatting>
  <conditionalFormatting sqref="D20">
    <cfRule type="expression" dxfId="1063" priority="1045">
      <formula>OR($Z20=1,$Z20=12,$Z20=123)</formula>
    </cfRule>
  </conditionalFormatting>
  <conditionalFormatting sqref="D17:E17">
    <cfRule type="expression" dxfId="1062" priority="1044">
      <formula>$B17&lt;&gt;""</formula>
    </cfRule>
  </conditionalFormatting>
  <conditionalFormatting sqref="D17">
    <cfRule type="expression" dxfId="1061" priority="1043">
      <formula>OR($Z17=1,$Z17=12,$Z17=123)</formula>
    </cfRule>
  </conditionalFormatting>
  <conditionalFormatting sqref="E17">
    <cfRule type="expression" dxfId="1060" priority="1042">
      <formula>OR($Z17=2,$Z17=12,$Z17=123)</formula>
    </cfRule>
  </conditionalFormatting>
  <conditionalFormatting sqref="D20:E20">
    <cfRule type="expression" dxfId="1059" priority="1041">
      <formula>$B20&lt;&gt;""</formula>
    </cfRule>
  </conditionalFormatting>
  <conditionalFormatting sqref="D20">
    <cfRule type="expression" dxfId="1058" priority="1040">
      <formula>OR($Z20=1,$Z20=12,$Z20=123)</formula>
    </cfRule>
  </conditionalFormatting>
  <conditionalFormatting sqref="E20">
    <cfRule type="expression" dxfId="1057" priority="1039">
      <formula>OR($Z20=2,$Z20=12,$Z20=123)</formula>
    </cfRule>
  </conditionalFormatting>
  <conditionalFormatting sqref="D18:E18">
    <cfRule type="expression" dxfId="1056" priority="1038">
      <formula>$B18&lt;&gt;""</formula>
    </cfRule>
  </conditionalFormatting>
  <conditionalFormatting sqref="D18">
    <cfRule type="expression" dxfId="1055" priority="1037">
      <formula>OR($Z18=1,$Z18=12,$Z18=123)</formula>
    </cfRule>
  </conditionalFormatting>
  <conditionalFormatting sqref="E18">
    <cfRule type="expression" dxfId="1054" priority="1036">
      <formula>OR($Z18=2,$Z18=12,$Z18=123)</formula>
    </cfRule>
  </conditionalFormatting>
  <conditionalFormatting sqref="D19:E19">
    <cfRule type="expression" dxfId="1053" priority="1035">
      <formula>$B19&lt;&gt;""</formula>
    </cfRule>
  </conditionalFormatting>
  <conditionalFormatting sqref="D19">
    <cfRule type="expression" dxfId="1052" priority="1034">
      <formula>OR($Z19=1,$Z19=12,$Z19=123)</formula>
    </cfRule>
  </conditionalFormatting>
  <conditionalFormatting sqref="E19">
    <cfRule type="expression" dxfId="1051" priority="1033">
      <formula>OR($Z19=2,$Z19=12,$Z19=123)</formula>
    </cfRule>
  </conditionalFormatting>
  <conditionalFormatting sqref="E21">
    <cfRule type="expression" dxfId="1050" priority="1032">
      <formula>$B21&lt;&gt;""</formula>
    </cfRule>
  </conditionalFormatting>
  <conditionalFormatting sqref="E21">
    <cfRule type="expression" dxfId="1049" priority="1031">
      <formula>OR($Z21=2,$Z21=12,$Z21=123)</formula>
    </cfRule>
  </conditionalFormatting>
  <conditionalFormatting sqref="D22:E22">
    <cfRule type="expression" dxfId="1048" priority="1030">
      <formula>$B22&lt;&gt;""</formula>
    </cfRule>
  </conditionalFormatting>
  <conditionalFormatting sqref="D22">
    <cfRule type="expression" dxfId="1047" priority="1029">
      <formula>OR($Z22=1,$Z22=12,$Z22=123)</formula>
    </cfRule>
  </conditionalFormatting>
  <conditionalFormatting sqref="E22">
    <cfRule type="expression" dxfId="1046" priority="1028">
      <formula>OR($Z22=2,$Z22=12,$Z22=123)</formula>
    </cfRule>
  </conditionalFormatting>
  <conditionalFormatting sqref="D21">
    <cfRule type="expression" dxfId="1045" priority="1027">
      <formula>$B21&lt;&gt;""</formula>
    </cfRule>
  </conditionalFormatting>
  <conditionalFormatting sqref="D21">
    <cfRule type="expression" dxfId="1044" priority="1026">
      <formula>OR($Z21=1,$Z21=12,$Z21=123)</formula>
    </cfRule>
  </conditionalFormatting>
  <conditionalFormatting sqref="D17:E17">
    <cfRule type="expression" dxfId="1043" priority="1025">
      <formula>$B17&lt;&gt;""</formula>
    </cfRule>
  </conditionalFormatting>
  <conditionalFormatting sqref="D17">
    <cfRule type="expression" dxfId="1042" priority="1024">
      <formula>OR($Z17=1,$Z17=12,$Z17=123)</formula>
    </cfRule>
  </conditionalFormatting>
  <conditionalFormatting sqref="E17">
    <cfRule type="expression" dxfId="1041" priority="1023">
      <formula>OR($Z17=2,$Z17=12,$Z17=123)</formula>
    </cfRule>
  </conditionalFormatting>
  <conditionalFormatting sqref="D20:E20">
    <cfRule type="expression" dxfId="1040" priority="1022">
      <formula>$B20&lt;&gt;""</formula>
    </cfRule>
  </conditionalFormatting>
  <conditionalFormatting sqref="D20">
    <cfRule type="expression" dxfId="1039" priority="1021">
      <formula>OR($Z20=1,$Z20=12,$Z20=123)</formula>
    </cfRule>
  </conditionalFormatting>
  <conditionalFormatting sqref="E20">
    <cfRule type="expression" dxfId="1038" priority="1020">
      <formula>OR($Z20=2,$Z20=12,$Z20=123)</formula>
    </cfRule>
  </conditionalFormatting>
  <conditionalFormatting sqref="D18:E18">
    <cfRule type="expression" dxfId="1037" priority="1019">
      <formula>$B18&lt;&gt;""</formula>
    </cfRule>
  </conditionalFormatting>
  <conditionalFormatting sqref="D18">
    <cfRule type="expression" dxfId="1036" priority="1018">
      <formula>OR($Z18=1,$Z18=12,$Z18=123)</formula>
    </cfRule>
  </conditionalFormatting>
  <conditionalFormatting sqref="E18">
    <cfRule type="expression" dxfId="1035" priority="1017">
      <formula>OR($Z18=2,$Z18=12,$Z18=123)</formula>
    </cfRule>
  </conditionalFormatting>
  <conditionalFormatting sqref="D19:E19">
    <cfRule type="expression" dxfId="1034" priority="1016">
      <formula>$B19&lt;&gt;""</formula>
    </cfRule>
  </conditionalFormatting>
  <conditionalFormatting sqref="D19">
    <cfRule type="expression" dxfId="1033" priority="1015">
      <formula>OR($Z19=1,$Z19=12,$Z19=123)</formula>
    </cfRule>
  </conditionalFormatting>
  <conditionalFormatting sqref="E19">
    <cfRule type="expression" dxfId="1032" priority="1014">
      <formula>OR($Z19=2,$Z19=12,$Z19=123)</formula>
    </cfRule>
  </conditionalFormatting>
  <conditionalFormatting sqref="E21">
    <cfRule type="expression" dxfId="1031" priority="1013">
      <formula>$B21&lt;&gt;""</formula>
    </cfRule>
  </conditionalFormatting>
  <conditionalFormatting sqref="E21">
    <cfRule type="expression" dxfId="1030" priority="1012">
      <formula>OR($Z21=2,$Z21=12,$Z21=123)</formula>
    </cfRule>
  </conditionalFormatting>
  <conditionalFormatting sqref="D22:E22">
    <cfRule type="expression" dxfId="1029" priority="1011">
      <formula>$B22&lt;&gt;""</formula>
    </cfRule>
  </conditionalFormatting>
  <conditionalFormatting sqref="D22">
    <cfRule type="expression" dxfId="1028" priority="1010">
      <formula>OR($Z22=1,$Z22=12,$Z22=123)</formula>
    </cfRule>
  </conditionalFormatting>
  <conditionalFormatting sqref="E22">
    <cfRule type="expression" dxfId="1027" priority="1009">
      <formula>OR($Z22=2,$Z22=12,$Z22=123)</formula>
    </cfRule>
  </conditionalFormatting>
  <conditionalFormatting sqref="D24:E24">
    <cfRule type="expression" dxfId="1026" priority="1008">
      <formula>$B24&lt;&gt;""</formula>
    </cfRule>
  </conditionalFormatting>
  <conditionalFormatting sqref="D24">
    <cfRule type="expression" dxfId="1025" priority="1007">
      <formula>OR($Z24=1,$Z24=12,$Z24=123)</formula>
    </cfRule>
  </conditionalFormatting>
  <conditionalFormatting sqref="E24">
    <cfRule type="expression" dxfId="1024" priority="1006">
      <formula>OR($Z24=2,$Z24=12,$Z24=123)</formula>
    </cfRule>
  </conditionalFormatting>
  <conditionalFormatting sqref="D25:E25">
    <cfRule type="expression" dxfId="1023" priority="1005">
      <formula>$B25&lt;&gt;""</formula>
    </cfRule>
  </conditionalFormatting>
  <conditionalFormatting sqref="D25">
    <cfRule type="expression" dxfId="1022" priority="1004">
      <formula>OR($Z25=1,$Z25=12,$Z25=123)</formula>
    </cfRule>
  </conditionalFormatting>
  <conditionalFormatting sqref="E25">
    <cfRule type="expression" dxfId="1021" priority="1003">
      <formula>OR($Z25=2,$Z25=12,$Z25=123)</formula>
    </cfRule>
  </conditionalFormatting>
  <conditionalFormatting sqref="D21">
    <cfRule type="expression" dxfId="1020" priority="1002">
      <formula>$B21&lt;&gt;""</formula>
    </cfRule>
  </conditionalFormatting>
  <conditionalFormatting sqref="D21">
    <cfRule type="expression" dxfId="1019" priority="1001">
      <formula>OR($Z21=1,$Z21=12,$Z21=123)</formula>
    </cfRule>
  </conditionalFormatting>
  <conditionalFormatting sqref="A17:H17">
    <cfRule type="expression" dxfId="1018" priority="1000">
      <formula>$B17&lt;&gt;""</formula>
    </cfRule>
  </conditionalFormatting>
  <conditionalFormatting sqref="D17">
    <cfRule type="expression" dxfId="1017" priority="999">
      <formula>OR($Z17=1,$Z17=12,$Z17=123)</formula>
    </cfRule>
  </conditionalFormatting>
  <conditionalFormatting sqref="E17">
    <cfRule type="expression" dxfId="1016" priority="998">
      <formula>OR($Z17=2,$Z17=12,$Z17=123)</formula>
    </cfRule>
  </conditionalFormatting>
  <conditionalFormatting sqref="D18:E18">
    <cfRule type="expression" dxfId="1015" priority="997">
      <formula>$B18&lt;&gt;""</formula>
    </cfRule>
  </conditionalFormatting>
  <conditionalFormatting sqref="D18">
    <cfRule type="expression" dxfId="1014" priority="996">
      <formula>OR($Z18=1,$Z18=12,$Z18=123)</formula>
    </cfRule>
  </conditionalFormatting>
  <conditionalFormatting sqref="E18">
    <cfRule type="expression" dxfId="1013" priority="995">
      <formula>OR($Z18=2,$Z18=12,$Z18=123)</formula>
    </cfRule>
  </conditionalFormatting>
  <conditionalFormatting sqref="D21:E21">
    <cfRule type="expression" dxfId="1012" priority="994">
      <formula>$B21&lt;&gt;""</formula>
    </cfRule>
  </conditionalFormatting>
  <conditionalFormatting sqref="D21">
    <cfRule type="expression" dxfId="1011" priority="993">
      <formula>OR($Z21=1,$Z21=12,$Z21=123)</formula>
    </cfRule>
  </conditionalFormatting>
  <conditionalFormatting sqref="E21">
    <cfRule type="expression" dxfId="1010" priority="992">
      <formula>OR($Z21=2,$Z21=12,$Z21=123)</formula>
    </cfRule>
  </conditionalFormatting>
  <conditionalFormatting sqref="D19:E19">
    <cfRule type="expression" dxfId="1009" priority="991">
      <formula>$B19&lt;&gt;""</formula>
    </cfRule>
  </conditionalFormatting>
  <conditionalFormatting sqref="D19">
    <cfRule type="expression" dxfId="1008" priority="990">
      <formula>OR($Z19=1,$Z19=12,$Z19=123)</formula>
    </cfRule>
  </conditionalFormatting>
  <conditionalFormatting sqref="E19">
    <cfRule type="expression" dxfId="1007" priority="989">
      <formula>OR($Z19=2,$Z19=12,$Z19=123)</formula>
    </cfRule>
  </conditionalFormatting>
  <conditionalFormatting sqref="D20:E20">
    <cfRule type="expression" dxfId="1006" priority="988">
      <formula>$B20&lt;&gt;""</formula>
    </cfRule>
  </conditionalFormatting>
  <conditionalFormatting sqref="D20">
    <cfRule type="expression" dxfId="1005" priority="987">
      <formula>OR($Z20=1,$Z20=12,$Z20=123)</formula>
    </cfRule>
  </conditionalFormatting>
  <conditionalFormatting sqref="E20">
    <cfRule type="expression" dxfId="1004" priority="986">
      <formula>OR($Z20=2,$Z20=12,$Z20=123)</formula>
    </cfRule>
  </conditionalFormatting>
  <conditionalFormatting sqref="E22">
    <cfRule type="expression" dxfId="1003" priority="985">
      <formula>$B22&lt;&gt;""</formula>
    </cfRule>
  </conditionalFormatting>
  <conditionalFormatting sqref="E22">
    <cfRule type="expression" dxfId="1002" priority="984">
      <formula>OR($Z22=2,$Z22=12,$Z22=123)</formula>
    </cfRule>
  </conditionalFormatting>
  <conditionalFormatting sqref="D23:E23">
    <cfRule type="expression" dxfId="1001" priority="983">
      <formula>$B23&lt;&gt;""</formula>
    </cfRule>
  </conditionalFormatting>
  <conditionalFormatting sqref="D23">
    <cfRule type="expression" dxfId="1000" priority="982">
      <formula>OR($Z23=1,$Z23=12,$Z23=123)</formula>
    </cfRule>
  </conditionalFormatting>
  <conditionalFormatting sqref="E23">
    <cfRule type="expression" dxfId="999" priority="981">
      <formula>OR($Z23=2,$Z23=12,$Z23=123)</formula>
    </cfRule>
  </conditionalFormatting>
  <conditionalFormatting sqref="D22">
    <cfRule type="expression" dxfId="998" priority="980">
      <formula>$B22&lt;&gt;""</formula>
    </cfRule>
  </conditionalFormatting>
  <conditionalFormatting sqref="D22">
    <cfRule type="expression" dxfId="997" priority="979">
      <formula>OR($Z22=1,$Z22=12,$Z22=123)</formula>
    </cfRule>
  </conditionalFormatting>
  <conditionalFormatting sqref="D17:E17">
    <cfRule type="expression" dxfId="996" priority="978">
      <formula>$B17&lt;&gt;""</formula>
    </cfRule>
  </conditionalFormatting>
  <conditionalFormatting sqref="D17">
    <cfRule type="expression" dxfId="995" priority="977">
      <formula>OR($Z17=1,$Z17=12,$Z17=123)</formula>
    </cfRule>
  </conditionalFormatting>
  <conditionalFormatting sqref="E17">
    <cfRule type="expression" dxfId="994" priority="976">
      <formula>OR($Z17=2,$Z17=12,$Z17=123)</formula>
    </cfRule>
  </conditionalFormatting>
  <conditionalFormatting sqref="D20:E20">
    <cfRule type="expression" dxfId="993" priority="975">
      <formula>$B20&lt;&gt;""</formula>
    </cfRule>
  </conditionalFormatting>
  <conditionalFormatting sqref="D20">
    <cfRule type="expression" dxfId="992" priority="974">
      <formula>OR($Z20=1,$Z20=12,$Z20=123)</formula>
    </cfRule>
  </conditionalFormatting>
  <conditionalFormatting sqref="E20">
    <cfRule type="expression" dxfId="991" priority="973">
      <formula>OR($Z20=2,$Z20=12,$Z20=123)</formula>
    </cfRule>
  </conditionalFormatting>
  <conditionalFormatting sqref="D18:E18">
    <cfRule type="expression" dxfId="990" priority="972">
      <formula>$B18&lt;&gt;""</formula>
    </cfRule>
  </conditionalFormatting>
  <conditionalFormatting sqref="D18">
    <cfRule type="expression" dxfId="989" priority="971">
      <formula>OR($Z18=1,$Z18=12,$Z18=123)</formula>
    </cfRule>
  </conditionalFormatting>
  <conditionalFormatting sqref="E18">
    <cfRule type="expression" dxfId="988" priority="970">
      <formula>OR($Z18=2,$Z18=12,$Z18=123)</formula>
    </cfRule>
  </conditionalFormatting>
  <conditionalFormatting sqref="D19:E19">
    <cfRule type="expression" dxfId="987" priority="969">
      <formula>$B19&lt;&gt;""</formula>
    </cfRule>
  </conditionalFormatting>
  <conditionalFormatting sqref="D19">
    <cfRule type="expression" dxfId="986" priority="968">
      <formula>OR($Z19=1,$Z19=12,$Z19=123)</formula>
    </cfRule>
  </conditionalFormatting>
  <conditionalFormatting sqref="E19">
    <cfRule type="expression" dxfId="985" priority="967">
      <formula>OR($Z19=2,$Z19=12,$Z19=123)</formula>
    </cfRule>
  </conditionalFormatting>
  <conditionalFormatting sqref="E21">
    <cfRule type="expression" dxfId="984" priority="966">
      <formula>$B21&lt;&gt;""</formula>
    </cfRule>
  </conditionalFormatting>
  <conditionalFormatting sqref="E21">
    <cfRule type="expression" dxfId="983" priority="965">
      <formula>OR($Z21=2,$Z21=12,$Z21=123)</formula>
    </cfRule>
  </conditionalFormatting>
  <conditionalFormatting sqref="D22:E22">
    <cfRule type="expression" dxfId="982" priority="964">
      <formula>$B22&lt;&gt;""</formula>
    </cfRule>
  </conditionalFormatting>
  <conditionalFormatting sqref="D22">
    <cfRule type="expression" dxfId="981" priority="963">
      <formula>OR($Z22=1,$Z22=12,$Z22=123)</formula>
    </cfRule>
  </conditionalFormatting>
  <conditionalFormatting sqref="E22">
    <cfRule type="expression" dxfId="980" priority="962">
      <formula>OR($Z22=2,$Z22=12,$Z22=123)</formula>
    </cfRule>
  </conditionalFormatting>
  <conditionalFormatting sqref="D24:E24">
    <cfRule type="expression" dxfId="979" priority="961">
      <formula>$B24&lt;&gt;""</formula>
    </cfRule>
  </conditionalFormatting>
  <conditionalFormatting sqref="D24">
    <cfRule type="expression" dxfId="978" priority="960">
      <formula>OR($Z24=1,$Z24=12,$Z24=123)</formula>
    </cfRule>
  </conditionalFormatting>
  <conditionalFormatting sqref="E24">
    <cfRule type="expression" dxfId="977" priority="959">
      <formula>OR($Z24=2,$Z24=12,$Z24=123)</formula>
    </cfRule>
  </conditionalFormatting>
  <conditionalFormatting sqref="D25:E25">
    <cfRule type="expression" dxfId="976" priority="958">
      <formula>$B25&lt;&gt;""</formula>
    </cfRule>
  </conditionalFormatting>
  <conditionalFormatting sqref="D25">
    <cfRule type="expression" dxfId="975" priority="957">
      <formula>OR($Z25=1,$Z25=12,$Z25=123)</formula>
    </cfRule>
  </conditionalFormatting>
  <conditionalFormatting sqref="E25">
    <cfRule type="expression" dxfId="974" priority="956">
      <formula>OR($Z25=2,$Z25=12,$Z25=123)</formula>
    </cfRule>
  </conditionalFormatting>
  <conditionalFormatting sqref="D21">
    <cfRule type="expression" dxfId="973" priority="955">
      <formula>$B21&lt;&gt;""</formula>
    </cfRule>
  </conditionalFormatting>
  <conditionalFormatting sqref="D21">
    <cfRule type="expression" dxfId="972" priority="954">
      <formula>OR($Z21=1,$Z21=12,$Z21=123)</formula>
    </cfRule>
  </conditionalFormatting>
  <conditionalFormatting sqref="A17:H17">
    <cfRule type="expression" dxfId="971" priority="953">
      <formula>$B17&lt;&gt;""</formula>
    </cfRule>
  </conditionalFormatting>
  <conditionalFormatting sqref="D17">
    <cfRule type="expression" dxfId="970" priority="952">
      <formula>OR($Z17=1,$Z17=12,$Z17=123)</formula>
    </cfRule>
  </conditionalFormatting>
  <conditionalFormatting sqref="E17">
    <cfRule type="expression" dxfId="969" priority="951">
      <formula>OR($Z17=2,$Z17=12,$Z17=123)</formula>
    </cfRule>
  </conditionalFormatting>
  <conditionalFormatting sqref="D18:E18">
    <cfRule type="expression" dxfId="968" priority="950">
      <formula>$B18&lt;&gt;""</formula>
    </cfRule>
  </conditionalFormatting>
  <conditionalFormatting sqref="D18">
    <cfRule type="expression" dxfId="967" priority="949">
      <formula>OR($Z18=1,$Z18=12,$Z18=123)</formula>
    </cfRule>
  </conditionalFormatting>
  <conditionalFormatting sqref="E18">
    <cfRule type="expression" dxfId="966" priority="948">
      <formula>OR($Z18=2,$Z18=12,$Z18=123)</formula>
    </cfRule>
  </conditionalFormatting>
  <conditionalFormatting sqref="D21:E21">
    <cfRule type="expression" dxfId="965" priority="947">
      <formula>$B21&lt;&gt;""</formula>
    </cfRule>
  </conditionalFormatting>
  <conditionalFormatting sqref="D21">
    <cfRule type="expression" dxfId="964" priority="946">
      <formula>OR($Z21=1,$Z21=12,$Z21=123)</formula>
    </cfRule>
  </conditionalFormatting>
  <conditionalFormatting sqref="E21">
    <cfRule type="expression" dxfId="963" priority="945">
      <formula>OR($Z21=2,$Z21=12,$Z21=123)</formula>
    </cfRule>
  </conditionalFormatting>
  <conditionalFormatting sqref="D19:E19">
    <cfRule type="expression" dxfId="962" priority="944">
      <formula>$B19&lt;&gt;""</formula>
    </cfRule>
  </conditionalFormatting>
  <conditionalFormatting sqref="D19">
    <cfRule type="expression" dxfId="961" priority="943">
      <formula>OR($Z19=1,$Z19=12,$Z19=123)</formula>
    </cfRule>
  </conditionalFormatting>
  <conditionalFormatting sqref="E19">
    <cfRule type="expression" dxfId="960" priority="942">
      <formula>OR($Z19=2,$Z19=12,$Z19=123)</formula>
    </cfRule>
  </conditionalFormatting>
  <conditionalFormatting sqref="D20:E20">
    <cfRule type="expression" dxfId="959" priority="941">
      <formula>$B20&lt;&gt;""</formula>
    </cfRule>
  </conditionalFormatting>
  <conditionalFormatting sqref="D20">
    <cfRule type="expression" dxfId="958" priority="940">
      <formula>OR($Z20=1,$Z20=12,$Z20=123)</formula>
    </cfRule>
  </conditionalFormatting>
  <conditionalFormatting sqref="E20">
    <cfRule type="expression" dxfId="957" priority="939">
      <formula>OR($Z20=2,$Z20=12,$Z20=123)</formula>
    </cfRule>
  </conditionalFormatting>
  <conditionalFormatting sqref="E22">
    <cfRule type="expression" dxfId="956" priority="938">
      <formula>$B22&lt;&gt;""</formula>
    </cfRule>
  </conditionalFormatting>
  <conditionalFormatting sqref="E22">
    <cfRule type="expression" dxfId="955" priority="937">
      <formula>OR($Z22=2,$Z22=12,$Z22=123)</formula>
    </cfRule>
  </conditionalFormatting>
  <conditionalFormatting sqref="D23:E23">
    <cfRule type="expression" dxfId="954" priority="936">
      <formula>$B23&lt;&gt;""</formula>
    </cfRule>
  </conditionalFormatting>
  <conditionalFormatting sqref="D23">
    <cfRule type="expression" dxfId="953" priority="935">
      <formula>OR($Z23=1,$Z23=12,$Z23=123)</formula>
    </cfRule>
  </conditionalFormatting>
  <conditionalFormatting sqref="E23">
    <cfRule type="expression" dxfId="952" priority="934">
      <formula>OR($Z23=2,$Z23=12,$Z23=123)</formula>
    </cfRule>
  </conditionalFormatting>
  <conditionalFormatting sqref="D22">
    <cfRule type="expression" dxfId="951" priority="933">
      <formula>$B22&lt;&gt;""</formula>
    </cfRule>
  </conditionalFormatting>
  <conditionalFormatting sqref="D22">
    <cfRule type="expression" dxfId="950" priority="932">
      <formula>OR($Z22=1,$Z22=12,$Z22=123)</formula>
    </cfRule>
  </conditionalFormatting>
  <conditionalFormatting sqref="A17:H17">
    <cfRule type="expression" dxfId="949" priority="931">
      <formula>$B17&lt;&gt;""</formula>
    </cfRule>
  </conditionalFormatting>
  <conditionalFormatting sqref="D17">
    <cfRule type="expression" dxfId="948" priority="930">
      <formula>OR($Z17=1,$Z17=12,$Z17=123)</formula>
    </cfRule>
  </conditionalFormatting>
  <conditionalFormatting sqref="E17">
    <cfRule type="expression" dxfId="947" priority="929">
      <formula>OR($Z17=2,$Z17=12,$Z17=123)</formula>
    </cfRule>
  </conditionalFormatting>
  <conditionalFormatting sqref="D18:E18">
    <cfRule type="expression" dxfId="946" priority="928">
      <formula>$B18&lt;&gt;""</formula>
    </cfRule>
  </conditionalFormatting>
  <conditionalFormatting sqref="D18">
    <cfRule type="expression" dxfId="945" priority="927">
      <formula>OR($Z18=1,$Z18=12,$Z18=123)</formula>
    </cfRule>
  </conditionalFormatting>
  <conditionalFormatting sqref="E18">
    <cfRule type="expression" dxfId="944" priority="926">
      <formula>OR($Z18=2,$Z18=12,$Z18=123)</formula>
    </cfRule>
  </conditionalFormatting>
  <conditionalFormatting sqref="D21:E21">
    <cfRule type="expression" dxfId="943" priority="925">
      <formula>$B21&lt;&gt;""</formula>
    </cfRule>
  </conditionalFormatting>
  <conditionalFormatting sqref="D21">
    <cfRule type="expression" dxfId="942" priority="924">
      <formula>OR($Z21=1,$Z21=12,$Z21=123)</formula>
    </cfRule>
  </conditionalFormatting>
  <conditionalFormatting sqref="E21">
    <cfRule type="expression" dxfId="941" priority="923">
      <formula>OR($Z21=2,$Z21=12,$Z21=123)</formula>
    </cfRule>
  </conditionalFormatting>
  <conditionalFormatting sqref="D19:E19">
    <cfRule type="expression" dxfId="940" priority="922">
      <formula>$B19&lt;&gt;""</formula>
    </cfRule>
  </conditionalFormatting>
  <conditionalFormatting sqref="D19">
    <cfRule type="expression" dxfId="939" priority="921">
      <formula>OR($Z19=1,$Z19=12,$Z19=123)</formula>
    </cfRule>
  </conditionalFormatting>
  <conditionalFormatting sqref="E19">
    <cfRule type="expression" dxfId="938" priority="920">
      <formula>OR($Z19=2,$Z19=12,$Z19=123)</formula>
    </cfRule>
  </conditionalFormatting>
  <conditionalFormatting sqref="D20:E20">
    <cfRule type="expression" dxfId="937" priority="919">
      <formula>$B20&lt;&gt;""</formula>
    </cfRule>
  </conditionalFormatting>
  <conditionalFormatting sqref="D20">
    <cfRule type="expression" dxfId="936" priority="918">
      <formula>OR($Z20=1,$Z20=12,$Z20=123)</formula>
    </cfRule>
  </conditionalFormatting>
  <conditionalFormatting sqref="E20">
    <cfRule type="expression" dxfId="935" priority="917">
      <formula>OR($Z20=2,$Z20=12,$Z20=123)</formula>
    </cfRule>
  </conditionalFormatting>
  <conditionalFormatting sqref="E22">
    <cfRule type="expression" dxfId="934" priority="916">
      <formula>$B22&lt;&gt;""</formula>
    </cfRule>
  </conditionalFormatting>
  <conditionalFormatting sqref="E22">
    <cfRule type="expression" dxfId="933" priority="915">
      <formula>OR($Z22=2,$Z22=12,$Z22=123)</formula>
    </cfRule>
  </conditionalFormatting>
  <conditionalFormatting sqref="D23:E23">
    <cfRule type="expression" dxfId="932" priority="914">
      <formula>$B23&lt;&gt;""</formula>
    </cfRule>
  </conditionalFormatting>
  <conditionalFormatting sqref="D23">
    <cfRule type="expression" dxfId="931" priority="913">
      <formula>OR($Z23=1,$Z23=12,$Z23=123)</formula>
    </cfRule>
  </conditionalFormatting>
  <conditionalFormatting sqref="E23">
    <cfRule type="expression" dxfId="930" priority="912">
      <formula>OR($Z23=2,$Z23=12,$Z23=123)</formula>
    </cfRule>
  </conditionalFormatting>
  <conditionalFormatting sqref="D25:E25">
    <cfRule type="expression" dxfId="929" priority="911">
      <formula>$B25&lt;&gt;""</formula>
    </cfRule>
  </conditionalFormatting>
  <conditionalFormatting sqref="D25">
    <cfRule type="expression" dxfId="928" priority="910">
      <formula>OR($Z25=1,$Z25=12,$Z25=123)</formula>
    </cfRule>
  </conditionalFormatting>
  <conditionalFormatting sqref="E25">
    <cfRule type="expression" dxfId="927" priority="909">
      <formula>OR($Z25=2,$Z25=12,$Z25=123)</formula>
    </cfRule>
  </conditionalFormatting>
  <conditionalFormatting sqref="D26:E26">
    <cfRule type="expression" dxfId="926" priority="908">
      <formula>$B26&lt;&gt;""</formula>
    </cfRule>
  </conditionalFormatting>
  <conditionalFormatting sqref="D26">
    <cfRule type="expression" dxfId="925" priority="907">
      <formula>OR($Z26=1,$Z26=12,$Z26=123)</formula>
    </cfRule>
  </conditionalFormatting>
  <conditionalFormatting sqref="E26">
    <cfRule type="expression" dxfId="924" priority="906">
      <formula>OR($Z26=2,$Z26=12,$Z26=123)</formula>
    </cfRule>
  </conditionalFormatting>
  <conditionalFormatting sqref="D22">
    <cfRule type="expression" dxfId="923" priority="905">
      <formula>$B22&lt;&gt;""</formula>
    </cfRule>
  </conditionalFormatting>
  <conditionalFormatting sqref="D22">
    <cfRule type="expression" dxfId="922" priority="904">
      <formula>OR($Z22=1,$Z22=12,$Z22=123)</formula>
    </cfRule>
  </conditionalFormatting>
  <conditionalFormatting sqref="A18:H18">
    <cfRule type="expression" dxfId="921" priority="903">
      <formula>$B18&lt;&gt;""</formula>
    </cfRule>
  </conditionalFormatting>
  <conditionalFormatting sqref="D18">
    <cfRule type="expression" dxfId="920" priority="902">
      <formula>OR($Z18=1,$Z18=12,$Z18=123)</formula>
    </cfRule>
  </conditionalFormatting>
  <conditionalFormatting sqref="E18">
    <cfRule type="expression" dxfId="919" priority="901">
      <formula>OR($Z18=2,$Z18=12,$Z18=123)</formula>
    </cfRule>
  </conditionalFormatting>
  <conditionalFormatting sqref="D19:E19">
    <cfRule type="expression" dxfId="918" priority="900">
      <formula>$B19&lt;&gt;""</formula>
    </cfRule>
  </conditionalFormatting>
  <conditionalFormatting sqref="D19">
    <cfRule type="expression" dxfId="917" priority="899">
      <formula>OR($Z19=1,$Z19=12,$Z19=123)</formula>
    </cfRule>
  </conditionalFormatting>
  <conditionalFormatting sqref="E19">
    <cfRule type="expression" dxfId="916" priority="898">
      <formula>OR($Z19=2,$Z19=12,$Z19=123)</formula>
    </cfRule>
  </conditionalFormatting>
  <conditionalFormatting sqref="D22:E22">
    <cfRule type="expression" dxfId="915" priority="897">
      <formula>$B22&lt;&gt;""</formula>
    </cfRule>
  </conditionalFormatting>
  <conditionalFormatting sqref="D22">
    <cfRule type="expression" dxfId="914" priority="896">
      <formula>OR($Z22=1,$Z22=12,$Z22=123)</formula>
    </cfRule>
  </conditionalFormatting>
  <conditionalFormatting sqref="E22">
    <cfRule type="expression" dxfId="913" priority="895">
      <formula>OR($Z22=2,$Z22=12,$Z22=123)</formula>
    </cfRule>
  </conditionalFormatting>
  <conditionalFormatting sqref="D20:E20">
    <cfRule type="expression" dxfId="912" priority="894">
      <formula>$B20&lt;&gt;""</formula>
    </cfRule>
  </conditionalFormatting>
  <conditionalFormatting sqref="D20">
    <cfRule type="expression" dxfId="911" priority="893">
      <formula>OR($Z20=1,$Z20=12,$Z20=123)</formula>
    </cfRule>
  </conditionalFormatting>
  <conditionalFormatting sqref="E20">
    <cfRule type="expression" dxfId="910" priority="892">
      <formula>OR($Z20=2,$Z20=12,$Z20=123)</formula>
    </cfRule>
  </conditionalFormatting>
  <conditionalFormatting sqref="D21:E21">
    <cfRule type="expression" dxfId="909" priority="891">
      <formula>$B21&lt;&gt;""</formula>
    </cfRule>
  </conditionalFormatting>
  <conditionalFormatting sqref="D21">
    <cfRule type="expression" dxfId="908" priority="890">
      <formula>OR($Z21=1,$Z21=12,$Z21=123)</formula>
    </cfRule>
  </conditionalFormatting>
  <conditionalFormatting sqref="E21">
    <cfRule type="expression" dxfId="907" priority="889">
      <formula>OR($Z21=2,$Z21=12,$Z21=123)</formula>
    </cfRule>
  </conditionalFormatting>
  <conditionalFormatting sqref="E23">
    <cfRule type="expression" dxfId="906" priority="888">
      <formula>$B23&lt;&gt;""</formula>
    </cfRule>
  </conditionalFormatting>
  <conditionalFormatting sqref="E23">
    <cfRule type="expression" dxfId="905" priority="887">
      <formula>OR($Z23=2,$Z23=12,$Z23=123)</formula>
    </cfRule>
  </conditionalFormatting>
  <conditionalFormatting sqref="D24:E24">
    <cfRule type="expression" dxfId="904" priority="886">
      <formula>$B24&lt;&gt;""</formula>
    </cfRule>
  </conditionalFormatting>
  <conditionalFormatting sqref="D24">
    <cfRule type="expression" dxfId="903" priority="885">
      <formula>OR($Z24=1,$Z24=12,$Z24=123)</formula>
    </cfRule>
  </conditionalFormatting>
  <conditionalFormatting sqref="E24">
    <cfRule type="expression" dxfId="902" priority="884">
      <formula>OR($Z24=2,$Z24=12,$Z24=123)</formula>
    </cfRule>
  </conditionalFormatting>
  <conditionalFormatting sqref="D23">
    <cfRule type="expression" dxfId="901" priority="883">
      <formula>$B23&lt;&gt;""</formula>
    </cfRule>
  </conditionalFormatting>
  <conditionalFormatting sqref="D23">
    <cfRule type="expression" dxfId="900" priority="882">
      <formula>OR($Z23=1,$Z23=12,$Z23=123)</formula>
    </cfRule>
  </conditionalFormatting>
  <conditionalFormatting sqref="D22:E22">
    <cfRule type="expression" dxfId="899" priority="881">
      <formula>$B22&lt;&gt;""</formula>
    </cfRule>
  </conditionalFormatting>
  <conditionalFormatting sqref="D22">
    <cfRule type="expression" dxfId="898" priority="880">
      <formula>OR($Z22=1,$Z22=12,$Z22=123)</formula>
    </cfRule>
  </conditionalFormatting>
  <conditionalFormatting sqref="E22">
    <cfRule type="expression" dxfId="897" priority="879">
      <formula>OR($Z22=2,$Z22=12,$Z22=123)</formula>
    </cfRule>
  </conditionalFormatting>
  <conditionalFormatting sqref="D23:E23">
    <cfRule type="expression" dxfId="896" priority="878">
      <formula>$B23&lt;&gt;""</formula>
    </cfRule>
  </conditionalFormatting>
  <conditionalFormatting sqref="D23">
    <cfRule type="expression" dxfId="895" priority="877">
      <formula>OR($Z23=1,$Z23=12,$Z23=123)</formula>
    </cfRule>
  </conditionalFormatting>
  <conditionalFormatting sqref="E23">
    <cfRule type="expression" dxfId="894" priority="876">
      <formula>OR($Z23=2,$Z23=12,$Z23=123)</formula>
    </cfRule>
  </conditionalFormatting>
  <conditionalFormatting sqref="D25:E25">
    <cfRule type="expression" dxfId="893" priority="875">
      <formula>$B25&lt;&gt;""</formula>
    </cfRule>
  </conditionalFormatting>
  <conditionalFormatting sqref="D25">
    <cfRule type="expression" dxfId="892" priority="874">
      <formula>OR($Z25=1,$Z25=12,$Z25=123)</formula>
    </cfRule>
  </conditionalFormatting>
  <conditionalFormatting sqref="E25">
    <cfRule type="expression" dxfId="891" priority="873">
      <formula>OR($Z25=2,$Z25=12,$Z25=123)</formula>
    </cfRule>
  </conditionalFormatting>
  <conditionalFormatting sqref="D26:E26">
    <cfRule type="expression" dxfId="890" priority="872">
      <formula>$B26&lt;&gt;""</formula>
    </cfRule>
  </conditionalFormatting>
  <conditionalFormatting sqref="D26">
    <cfRule type="expression" dxfId="889" priority="871">
      <formula>OR($Z26=1,$Z26=12,$Z26=123)</formula>
    </cfRule>
  </conditionalFormatting>
  <conditionalFormatting sqref="E26">
    <cfRule type="expression" dxfId="888" priority="870">
      <formula>OR($Z26=2,$Z26=12,$Z26=123)</formula>
    </cfRule>
  </conditionalFormatting>
  <conditionalFormatting sqref="D23:E23">
    <cfRule type="expression" dxfId="887" priority="869">
      <formula>$B23&lt;&gt;""</formula>
    </cfRule>
  </conditionalFormatting>
  <conditionalFormatting sqref="D23">
    <cfRule type="expression" dxfId="886" priority="868">
      <formula>OR($Z23=1,$Z23=12,$Z23=123)</formula>
    </cfRule>
  </conditionalFormatting>
  <conditionalFormatting sqref="E23">
    <cfRule type="expression" dxfId="885" priority="867">
      <formula>OR($Z23=2,$Z23=12,$Z23=123)</formula>
    </cfRule>
  </conditionalFormatting>
  <conditionalFormatting sqref="D24:E24">
    <cfRule type="expression" dxfId="884" priority="866">
      <formula>$B24&lt;&gt;""</formula>
    </cfRule>
  </conditionalFormatting>
  <conditionalFormatting sqref="D24">
    <cfRule type="expression" dxfId="883" priority="865">
      <formula>OR($Z24=1,$Z24=12,$Z24=123)</formula>
    </cfRule>
  </conditionalFormatting>
  <conditionalFormatting sqref="E24">
    <cfRule type="expression" dxfId="882" priority="864">
      <formula>OR($Z24=2,$Z24=12,$Z24=123)</formula>
    </cfRule>
  </conditionalFormatting>
  <conditionalFormatting sqref="D26:E26">
    <cfRule type="expression" dxfId="881" priority="863">
      <formula>$B26&lt;&gt;""</formula>
    </cfRule>
  </conditionalFormatting>
  <conditionalFormatting sqref="D26">
    <cfRule type="expression" dxfId="880" priority="862">
      <formula>OR($Z26=1,$Z26=12,$Z26=123)</formula>
    </cfRule>
  </conditionalFormatting>
  <conditionalFormatting sqref="E26">
    <cfRule type="expression" dxfId="879" priority="861">
      <formula>OR($Z26=2,$Z26=12,$Z26=123)</formula>
    </cfRule>
  </conditionalFormatting>
  <conditionalFormatting sqref="D22:E22">
    <cfRule type="expression" dxfId="878" priority="860">
      <formula>$B22&lt;&gt;""</formula>
    </cfRule>
  </conditionalFormatting>
  <conditionalFormatting sqref="D22">
    <cfRule type="expression" dxfId="877" priority="859">
      <formula>OR($Z22=1,$Z22=12,$Z22=123)</formula>
    </cfRule>
  </conditionalFormatting>
  <conditionalFormatting sqref="E22">
    <cfRule type="expression" dxfId="876" priority="858">
      <formula>OR($Z22=2,$Z22=12,$Z22=123)</formula>
    </cfRule>
  </conditionalFormatting>
  <conditionalFormatting sqref="D23:E23">
    <cfRule type="expression" dxfId="875" priority="857">
      <formula>$B23&lt;&gt;""</formula>
    </cfRule>
  </conditionalFormatting>
  <conditionalFormatting sqref="D23">
    <cfRule type="expression" dxfId="874" priority="856">
      <formula>OR($Z23=1,$Z23=12,$Z23=123)</formula>
    </cfRule>
  </conditionalFormatting>
  <conditionalFormatting sqref="E23">
    <cfRule type="expression" dxfId="873" priority="855">
      <formula>OR($Z23=2,$Z23=12,$Z23=123)</formula>
    </cfRule>
  </conditionalFormatting>
  <conditionalFormatting sqref="D24:E24">
    <cfRule type="expression" dxfId="872" priority="854">
      <formula>$B24&lt;&gt;""</formula>
    </cfRule>
  </conditionalFormatting>
  <conditionalFormatting sqref="D24">
    <cfRule type="expression" dxfId="871" priority="853">
      <formula>OR($Z24=1,$Z24=12,$Z24=123)</formula>
    </cfRule>
  </conditionalFormatting>
  <conditionalFormatting sqref="E24">
    <cfRule type="expression" dxfId="870" priority="852">
      <formula>OR($Z24=2,$Z24=12,$Z24=123)</formula>
    </cfRule>
  </conditionalFormatting>
  <conditionalFormatting sqref="D26:E26">
    <cfRule type="expression" dxfId="869" priority="851">
      <formula>$B26&lt;&gt;""</formula>
    </cfRule>
  </conditionalFormatting>
  <conditionalFormatting sqref="D26">
    <cfRule type="expression" dxfId="868" priority="850">
      <formula>OR($Z26=1,$Z26=12,$Z26=123)</formula>
    </cfRule>
  </conditionalFormatting>
  <conditionalFormatting sqref="E26">
    <cfRule type="expression" dxfId="867" priority="849">
      <formula>OR($Z26=2,$Z26=12,$Z26=123)</formula>
    </cfRule>
  </conditionalFormatting>
  <conditionalFormatting sqref="D22:E22">
    <cfRule type="expression" dxfId="866" priority="848">
      <formula>$B22&lt;&gt;""</formula>
    </cfRule>
  </conditionalFormatting>
  <conditionalFormatting sqref="D22">
    <cfRule type="expression" dxfId="865" priority="847">
      <formula>OR($Z22=1,$Z22=12,$Z22=123)</formula>
    </cfRule>
  </conditionalFormatting>
  <conditionalFormatting sqref="E22">
    <cfRule type="expression" dxfId="864" priority="846">
      <formula>OR($Z22=2,$Z22=12,$Z22=123)</formula>
    </cfRule>
  </conditionalFormatting>
  <conditionalFormatting sqref="D22:E22">
    <cfRule type="expression" dxfId="863" priority="845">
      <formula>$B22&lt;&gt;""</formula>
    </cfRule>
  </conditionalFormatting>
  <conditionalFormatting sqref="D22">
    <cfRule type="expression" dxfId="862" priority="844">
      <formula>OR($Z22=1,$Z22=12,$Z22=123)</formula>
    </cfRule>
  </conditionalFormatting>
  <conditionalFormatting sqref="E22">
    <cfRule type="expression" dxfId="861" priority="843">
      <formula>OR($Z22=2,$Z22=12,$Z22=123)</formula>
    </cfRule>
  </conditionalFormatting>
  <conditionalFormatting sqref="D24:E24">
    <cfRule type="expression" dxfId="860" priority="842">
      <formula>$B24&lt;&gt;""</formula>
    </cfRule>
  </conditionalFormatting>
  <conditionalFormatting sqref="D24">
    <cfRule type="expression" dxfId="859" priority="841">
      <formula>OR($Z24=1,$Z24=12,$Z24=123)</formula>
    </cfRule>
  </conditionalFormatting>
  <conditionalFormatting sqref="E24">
    <cfRule type="expression" dxfId="858" priority="840">
      <formula>OR($Z24=2,$Z24=12,$Z24=123)</formula>
    </cfRule>
  </conditionalFormatting>
  <conditionalFormatting sqref="D25:E25">
    <cfRule type="expression" dxfId="857" priority="839">
      <formula>$B25&lt;&gt;""</formula>
    </cfRule>
  </conditionalFormatting>
  <conditionalFormatting sqref="D25">
    <cfRule type="expression" dxfId="856" priority="838">
      <formula>OR($Z25=1,$Z25=12,$Z25=123)</formula>
    </cfRule>
  </conditionalFormatting>
  <conditionalFormatting sqref="E25">
    <cfRule type="expression" dxfId="855" priority="837">
      <formula>OR($Z25=2,$Z25=12,$Z25=123)</formula>
    </cfRule>
  </conditionalFormatting>
  <conditionalFormatting sqref="E22">
    <cfRule type="expression" dxfId="854" priority="836">
      <formula>$B22&lt;&gt;""</formula>
    </cfRule>
  </conditionalFormatting>
  <conditionalFormatting sqref="E22">
    <cfRule type="expression" dxfId="853" priority="835">
      <formula>OR($Z22=2,$Z22=12,$Z22=123)</formula>
    </cfRule>
  </conditionalFormatting>
  <conditionalFormatting sqref="D23:E23">
    <cfRule type="expression" dxfId="852" priority="834">
      <formula>$B23&lt;&gt;""</formula>
    </cfRule>
  </conditionalFormatting>
  <conditionalFormatting sqref="D23">
    <cfRule type="expression" dxfId="851" priority="833">
      <formula>OR($Z23=1,$Z23=12,$Z23=123)</formula>
    </cfRule>
  </conditionalFormatting>
  <conditionalFormatting sqref="E23">
    <cfRule type="expression" dxfId="850" priority="832">
      <formula>OR($Z23=2,$Z23=12,$Z23=123)</formula>
    </cfRule>
  </conditionalFormatting>
  <conditionalFormatting sqref="D22">
    <cfRule type="expression" dxfId="849" priority="831">
      <formula>$B22&lt;&gt;""</formula>
    </cfRule>
  </conditionalFormatting>
  <conditionalFormatting sqref="D22">
    <cfRule type="expression" dxfId="848" priority="830">
      <formula>OR($Z22=1,$Z22=12,$Z22=123)</formula>
    </cfRule>
  </conditionalFormatting>
  <conditionalFormatting sqref="D17:E17">
    <cfRule type="expression" dxfId="847" priority="829">
      <formula>$B17&lt;&gt;""</formula>
    </cfRule>
  </conditionalFormatting>
  <conditionalFormatting sqref="D17">
    <cfRule type="expression" dxfId="846" priority="828">
      <formula>OR($Z17=1,$Z17=12,$Z17=123)</formula>
    </cfRule>
  </conditionalFormatting>
  <conditionalFormatting sqref="E17">
    <cfRule type="expression" dxfId="845" priority="827">
      <formula>OR($Z17=2,$Z17=12,$Z17=123)</formula>
    </cfRule>
  </conditionalFormatting>
  <conditionalFormatting sqref="D20:E20">
    <cfRule type="expression" dxfId="844" priority="826">
      <formula>$B20&lt;&gt;""</formula>
    </cfRule>
  </conditionalFormatting>
  <conditionalFormatting sqref="D20">
    <cfRule type="expression" dxfId="843" priority="825">
      <formula>OR($Z20=1,$Z20=12,$Z20=123)</formula>
    </cfRule>
  </conditionalFormatting>
  <conditionalFormatting sqref="E20">
    <cfRule type="expression" dxfId="842" priority="824">
      <formula>OR($Z20=2,$Z20=12,$Z20=123)</formula>
    </cfRule>
  </conditionalFormatting>
  <conditionalFormatting sqref="D18:E18">
    <cfRule type="expression" dxfId="841" priority="823">
      <formula>$B18&lt;&gt;""</formula>
    </cfRule>
  </conditionalFormatting>
  <conditionalFormatting sqref="D18">
    <cfRule type="expression" dxfId="840" priority="822">
      <formula>OR($Z18=1,$Z18=12,$Z18=123)</formula>
    </cfRule>
  </conditionalFormatting>
  <conditionalFormatting sqref="E18">
    <cfRule type="expression" dxfId="839" priority="821">
      <formula>OR($Z18=2,$Z18=12,$Z18=123)</formula>
    </cfRule>
  </conditionalFormatting>
  <conditionalFormatting sqref="D19:E19">
    <cfRule type="expression" dxfId="838" priority="820">
      <formula>$B19&lt;&gt;""</formula>
    </cfRule>
  </conditionalFormatting>
  <conditionalFormatting sqref="D19">
    <cfRule type="expression" dxfId="837" priority="819">
      <formula>OR($Z19=1,$Z19=12,$Z19=123)</formula>
    </cfRule>
  </conditionalFormatting>
  <conditionalFormatting sqref="E19">
    <cfRule type="expression" dxfId="836" priority="818">
      <formula>OR($Z19=2,$Z19=12,$Z19=123)</formula>
    </cfRule>
  </conditionalFormatting>
  <conditionalFormatting sqref="E21">
    <cfRule type="expression" dxfId="835" priority="817">
      <formula>$B21&lt;&gt;""</formula>
    </cfRule>
  </conditionalFormatting>
  <conditionalFormatting sqref="E21">
    <cfRule type="expression" dxfId="834" priority="816">
      <formula>OR($Z21=2,$Z21=12,$Z21=123)</formula>
    </cfRule>
  </conditionalFormatting>
  <conditionalFormatting sqref="D22:E22">
    <cfRule type="expression" dxfId="833" priority="815">
      <formula>$B22&lt;&gt;""</formula>
    </cfRule>
  </conditionalFormatting>
  <conditionalFormatting sqref="D22">
    <cfRule type="expression" dxfId="832" priority="814">
      <formula>OR($Z22=1,$Z22=12,$Z22=123)</formula>
    </cfRule>
  </conditionalFormatting>
  <conditionalFormatting sqref="E22">
    <cfRule type="expression" dxfId="831" priority="813">
      <formula>OR($Z22=2,$Z22=12,$Z22=123)</formula>
    </cfRule>
  </conditionalFormatting>
  <conditionalFormatting sqref="D24:E24">
    <cfRule type="expression" dxfId="830" priority="812">
      <formula>$B24&lt;&gt;""</formula>
    </cfRule>
  </conditionalFormatting>
  <conditionalFormatting sqref="D24">
    <cfRule type="expression" dxfId="829" priority="811">
      <formula>OR($Z24=1,$Z24=12,$Z24=123)</formula>
    </cfRule>
  </conditionalFormatting>
  <conditionalFormatting sqref="E24">
    <cfRule type="expression" dxfId="828" priority="810">
      <formula>OR($Z24=2,$Z24=12,$Z24=123)</formula>
    </cfRule>
  </conditionalFormatting>
  <conditionalFormatting sqref="D25:E25">
    <cfRule type="expression" dxfId="827" priority="809">
      <formula>$B25&lt;&gt;""</formula>
    </cfRule>
  </conditionalFormatting>
  <conditionalFormatting sqref="D25">
    <cfRule type="expression" dxfId="826" priority="808">
      <formula>OR($Z25=1,$Z25=12,$Z25=123)</formula>
    </cfRule>
  </conditionalFormatting>
  <conditionalFormatting sqref="E25">
    <cfRule type="expression" dxfId="825" priority="807">
      <formula>OR($Z25=2,$Z25=12,$Z25=123)</formula>
    </cfRule>
  </conditionalFormatting>
  <conditionalFormatting sqref="D21">
    <cfRule type="expression" dxfId="824" priority="806">
      <formula>$B21&lt;&gt;""</formula>
    </cfRule>
  </conditionalFormatting>
  <conditionalFormatting sqref="D21">
    <cfRule type="expression" dxfId="823" priority="805">
      <formula>OR($Z21=1,$Z21=12,$Z21=123)</formula>
    </cfRule>
  </conditionalFormatting>
  <conditionalFormatting sqref="A17:H17">
    <cfRule type="expression" dxfId="822" priority="804">
      <formula>$B17&lt;&gt;""</formula>
    </cfRule>
  </conditionalFormatting>
  <conditionalFormatting sqref="D17">
    <cfRule type="expression" dxfId="821" priority="803">
      <formula>OR($Z17=1,$Z17=12,$Z17=123)</formula>
    </cfRule>
  </conditionalFormatting>
  <conditionalFormatting sqref="E17">
    <cfRule type="expression" dxfId="820" priority="802">
      <formula>OR($Z17=2,$Z17=12,$Z17=123)</formula>
    </cfRule>
  </conditionalFormatting>
  <conditionalFormatting sqref="D18:E18">
    <cfRule type="expression" dxfId="819" priority="801">
      <formula>$B18&lt;&gt;""</formula>
    </cfRule>
  </conditionalFormatting>
  <conditionalFormatting sqref="D18">
    <cfRule type="expression" dxfId="818" priority="800">
      <formula>OR($Z18=1,$Z18=12,$Z18=123)</formula>
    </cfRule>
  </conditionalFormatting>
  <conditionalFormatting sqref="E18">
    <cfRule type="expression" dxfId="817" priority="799">
      <formula>OR($Z18=2,$Z18=12,$Z18=123)</formula>
    </cfRule>
  </conditionalFormatting>
  <conditionalFormatting sqref="D21:E21">
    <cfRule type="expression" dxfId="816" priority="798">
      <formula>$B21&lt;&gt;""</formula>
    </cfRule>
  </conditionalFormatting>
  <conditionalFormatting sqref="D21">
    <cfRule type="expression" dxfId="815" priority="797">
      <formula>OR($Z21=1,$Z21=12,$Z21=123)</formula>
    </cfRule>
  </conditionalFormatting>
  <conditionalFormatting sqref="E21">
    <cfRule type="expression" dxfId="814" priority="796">
      <formula>OR($Z21=2,$Z21=12,$Z21=123)</formula>
    </cfRule>
  </conditionalFormatting>
  <conditionalFormatting sqref="D19:E19">
    <cfRule type="expression" dxfId="813" priority="795">
      <formula>$B19&lt;&gt;""</formula>
    </cfRule>
  </conditionalFormatting>
  <conditionalFormatting sqref="D19">
    <cfRule type="expression" dxfId="812" priority="794">
      <formula>OR($Z19=1,$Z19=12,$Z19=123)</formula>
    </cfRule>
  </conditionalFormatting>
  <conditionalFormatting sqref="E19">
    <cfRule type="expression" dxfId="811" priority="793">
      <formula>OR($Z19=2,$Z19=12,$Z19=123)</formula>
    </cfRule>
  </conditionalFormatting>
  <conditionalFormatting sqref="D20:E20">
    <cfRule type="expression" dxfId="810" priority="792">
      <formula>$B20&lt;&gt;""</formula>
    </cfRule>
  </conditionalFormatting>
  <conditionalFormatting sqref="D20">
    <cfRule type="expression" dxfId="809" priority="791">
      <formula>OR($Z20=1,$Z20=12,$Z20=123)</formula>
    </cfRule>
  </conditionalFormatting>
  <conditionalFormatting sqref="E20">
    <cfRule type="expression" dxfId="808" priority="790">
      <formula>OR($Z20=2,$Z20=12,$Z20=123)</formula>
    </cfRule>
  </conditionalFormatting>
  <conditionalFormatting sqref="E22">
    <cfRule type="expression" dxfId="807" priority="789">
      <formula>$B22&lt;&gt;""</formula>
    </cfRule>
  </conditionalFormatting>
  <conditionalFormatting sqref="E22">
    <cfRule type="expression" dxfId="806" priority="788">
      <formula>OR($Z22=2,$Z22=12,$Z22=123)</formula>
    </cfRule>
  </conditionalFormatting>
  <conditionalFormatting sqref="D23:E23">
    <cfRule type="expression" dxfId="805" priority="787">
      <formula>$B23&lt;&gt;""</formula>
    </cfRule>
  </conditionalFormatting>
  <conditionalFormatting sqref="D23">
    <cfRule type="expression" dxfId="804" priority="786">
      <formula>OR($Z23=1,$Z23=12,$Z23=123)</formula>
    </cfRule>
  </conditionalFormatting>
  <conditionalFormatting sqref="E23">
    <cfRule type="expression" dxfId="803" priority="785">
      <formula>OR($Z23=2,$Z23=12,$Z23=123)</formula>
    </cfRule>
  </conditionalFormatting>
  <conditionalFormatting sqref="D22">
    <cfRule type="expression" dxfId="802" priority="784">
      <formula>$B22&lt;&gt;""</formula>
    </cfRule>
  </conditionalFormatting>
  <conditionalFormatting sqref="D22">
    <cfRule type="expression" dxfId="801" priority="783">
      <formula>OR($Z22=1,$Z22=12,$Z22=123)</formula>
    </cfRule>
  </conditionalFormatting>
  <conditionalFormatting sqref="A17:H17">
    <cfRule type="expression" dxfId="800" priority="782">
      <formula>$B17&lt;&gt;""</formula>
    </cfRule>
  </conditionalFormatting>
  <conditionalFormatting sqref="D17">
    <cfRule type="expression" dxfId="799" priority="781">
      <formula>OR($Z17=1,$Z17=12,$Z17=123)</formula>
    </cfRule>
  </conditionalFormatting>
  <conditionalFormatting sqref="E17">
    <cfRule type="expression" dxfId="798" priority="780">
      <formula>OR($Z17=2,$Z17=12,$Z17=123)</formula>
    </cfRule>
  </conditionalFormatting>
  <conditionalFormatting sqref="D18:E18">
    <cfRule type="expression" dxfId="797" priority="779">
      <formula>$B18&lt;&gt;""</formula>
    </cfRule>
  </conditionalFormatting>
  <conditionalFormatting sqref="D18">
    <cfRule type="expression" dxfId="796" priority="778">
      <formula>OR($Z18=1,$Z18=12,$Z18=123)</formula>
    </cfRule>
  </conditionalFormatting>
  <conditionalFormatting sqref="E18">
    <cfRule type="expression" dxfId="795" priority="777">
      <formula>OR($Z18=2,$Z18=12,$Z18=123)</formula>
    </cfRule>
  </conditionalFormatting>
  <conditionalFormatting sqref="D21:E21">
    <cfRule type="expression" dxfId="794" priority="776">
      <formula>$B21&lt;&gt;""</formula>
    </cfRule>
  </conditionalFormatting>
  <conditionalFormatting sqref="D21">
    <cfRule type="expression" dxfId="793" priority="775">
      <formula>OR($Z21=1,$Z21=12,$Z21=123)</formula>
    </cfRule>
  </conditionalFormatting>
  <conditionalFormatting sqref="E21">
    <cfRule type="expression" dxfId="792" priority="774">
      <formula>OR($Z21=2,$Z21=12,$Z21=123)</formula>
    </cfRule>
  </conditionalFormatting>
  <conditionalFormatting sqref="D19:E19">
    <cfRule type="expression" dxfId="791" priority="773">
      <formula>$B19&lt;&gt;""</formula>
    </cfRule>
  </conditionalFormatting>
  <conditionalFormatting sqref="D19">
    <cfRule type="expression" dxfId="790" priority="772">
      <formula>OR($Z19=1,$Z19=12,$Z19=123)</formula>
    </cfRule>
  </conditionalFormatting>
  <conditionalFormatting sqref="E19">
    <cfRule type="expression" dxfId="789" priority="771">
      <formula>OR($Z19=2,$Z19=12,$Z19=123)</formula>
    </cfRule>
  </conditionalFormatting>
  <conditionalFormatting sqref="D20:E20">
    <cfRule type="expression" dxfId="788" priority="770">
      <formula>$B20&lt;&gt;""</formula>
    </cfRule>
  </conditionalFormatting>
  <conditionalFormatting sqref="D20">
    <cfRule type="expression" dxfId="787" priority="769">
      <formula>OR($Z20=1,$Z20=12,$Z20=123)</formula>
    </cfRule>
  </conditionalFormatting>
  <conditionalFormatting sqref="E20">
    <cfRule type="expression" dxfId="786" priority="768">
      <formula>OR($Z20=2,$Z20=12,$Z20=123)</formula>
    </cfRule>
  </conditionalFormatting>
  <conditionalFormatting sqref="E22">
    <cfRule type="expression" dxfId="785" priority="767">
      <formula>$B22&lt;&gt;""</formula>
    </cfRule>
  </conditionalFormatting>
  <conditionalFormatting sqref="E22">
    <cfRule type="expression" dxfId="784" priority="766">
      <formula>OR($Z22=2,$Z22=12,$Z22=123)</formula>
    </cfRule>
  </conditionalFormatting>
  <conditionalFormatting sqref="D23:E23">
    <cfRule type="expression" dxfId="783" priority="765">
      <formula>$B23&lt;&gt;""</formula>
    </cfRule>
  </conditionalFormatting>
  <conditionalFormatting sqref="D23">
    <cfRule type="expression" dxfId="782" priority="764">
      <formula>OR($Z23=1,$Z23=12,$Z23=123)</formula>
    </cfRule>
  </conditionalFormatting>
  <conditionalFormatting sqref="E23">
    <cfRule type="expression" dxfId="781" priority="763">
      <formula>OR($Z23=2,$Z23=12,$Z23=123)</formula>
    </cfRule>
  </conditionalFormatting>
  <conditionalFormatting sqref="D25:E25">
    <cfRule type="expression" dxfId="780" priority="762">
      <formula>$B25&lt;&gt;""</formula>
    </cfRule>
  </conditionalFormatting>
  <conditionalFormatting sqref="D25">
    <cfRule type="expression" dxfId="779" priority="761">
      <formula>OR($Z25=1,$Z25=12,$Z25=123)</formula>
    </cfRule>
  </conditionalFormatting>
  <conditionalFormatting sqref="E25">
    <cfRule type="expression" dxfId="778" priority="760">
      <formula>OR($Z25=2,$Z25=12,$Z25=123)</formula>
    </cfRule>
  </conditionalFormatting>
  <conditionalFormatting sqref="D26:E26">
    <cfRule type="expression" dxfId="777" priority="759">
      <formula>$B26&lt;&gt;""</formula>
    </cfRule>
  </conditionalFormatting>
  <conditionalFormatting sqref="D26">
    <cfRule type="expression" dxfId="776" priority="758">
      <formula>OR($Z26=1,$Z26=12,$Z26=123)</formula>
    </cfRule>
  </conditionalFormatting>
  <conditionalFormatting sqref="E26">
    <cfRule type="expression" dxfId="775" priority="757">
      <formula>OR($Z26=2,$Z26=12,$Z26=123)</formula>
    </cfRule>
  </conditionalFormatting>
  <conditionalFormatting sqref="D22">
    <cfRule type="expression" dxfId="774" priority="756">
      <formula>$B22&lt;&gt;""</formula>
    </cfRule>
  </conditionalFormatting>
  <conditionalFormatting sqref="D22">
    <cfRule type="expression" dxfId="773" priority="755">
      <formula>OR($Z22=1,$Z22=12,$Z22=123)</formula>
    </cfRule>
  </conditionalFormatting>
  <conditionalFormatting sqref="A18:H18">
    <cfRule type="expression" dxfId="772" priority="754">
      <formula>$B18&lt;&gt;""</formula>
    </cfRule>
  </conditionalFormatting>
  <conditionalFormatting sqref="D18">
    <cfRule type="expression" dxfId="771" priority="753">
      <formula>OR($Z18=1,$Z18=12,$Z18=123)</formula>
    </cfRule>
  </conditionalFormatting>
  <conditionalFormatting sqref="E18">
    <cfRule type="expression" dxfId="770" priority="752">
      <formula>OR($Z18=2,$Z18=12,$Z18=123)</formula>
    </cfRule>
  </conditionalFormatting>
  <conditionalFormatting sqref="D19:E19">
    <cfRule type="expression" dxfId="769" priority="751">
      <formula>$B19&lt;&gt;""</formula>
    </cfRule>
  </conditionalFormatting>
  <conditionalFormatting sqref="D19">
    <cfRule type="expression" dxfId="768" priority="750">
      <formula>OR($Z19=1,$Z19=12,$Z19=123)</formula>
    </cfRule>
  </conditionalFormatting>
  <conditionalFormatting sqref="E19">
    <cfRule type="expression" dxfId="767" priority="749">
      <formula>OR($Z19=2,$Z19=12,$Z19=123)</formula>
    </cfRule>
  </conditionalFormatting>
  <conditionalFormatting sqref="D22:E22">
    <cfRule type="expression" dxfId="766" priority="748">
      <formula>$B22&lt;&gt;""</formula>
    </cfRule>
  </conditionalFormatting>
  <conditionalFormatting sqref="D22">
    <cfRule type="expression" dxfId="765" priority="747">
      <formula>OR($Z22=1,$Z22=12,$Z22=123)</formula>
    </cfRule>
  </conditionalFormatting>
  <conditionalFormatting sqref="E22">
    <cfRule type="expression" dxfId="764" priority="746">
      <formula>OR($Z22=2,$Z22=12,$Z22=123)</formula>
    </cfRule>
  </conditionalFormatting>
  <conditionalFormatting sqref="D20:E20">
    <cfRule type="expression" dxfId="763" priority="745">
      <formula>$B20&lt;&gt;""</formula>
    </cfRule>
  </conditionalFormatting>
  <conditionalFormatting sqref="D20">
    <cfRule type="expression" dxfId="762" priority="744">
      <formula>OR($Z20=1,$Z20=12,$Z20=123)</formula>
    </cfRule>
  </conditionalFormatting>
  <conditionalFormatting sqref="E20">
    <cfRule type="expression" dxfId="761" priority="743">
      <formula>OR($Z20=2,$Z20=12,$Z20=123)</formula>
    </cfRule>
  </conditionalFormatting>
  <conditionalFormatting sqref="D21:E21">
    <cfRule type="expression" dxfId="760" priority="742">
      <formula>$B21&lt;&gt;""</formula>
    </cfRule>
  </conditionalFormatting>
  <conditionalFormatting sqref="D21">
    <cfRule type="expression" dxfId="759" priority="741">
      <formula>OR($Z21=1,$Z21=12,$Z21=123)</formula>
    </cfRule>
  </conditionalFormatting>
  <conditionalFormatting sqref="E21">
    <cfRule type="expression" dxfId="758" priority="740">
      <formula>OR($Z21=2,$Z21=12,$Z21=123)</formula>
    </cfRule>
  </conditionalFormatting>
  <conditionalFormatting sqref="E23">
    <cfRule type="expression" dxfId="757" priority="739">
      <formula>$B23&lt;&gt;""</formula>
    </cfRule>
  </conditionalFormatting>
  <conditionalFormatting sqref="E23">
    <cfRule type="expression" dxfId="756" priority="738">
      <formula>OR($Z23=2,$Z23=12,$Z23=123)</formula>
    </cfRule>
  </conditionalFormatting>
  <conditionalFormatting sqref="D24:E24">
    <cfRule type="expression" dxfId="755" priority="737">
      <formula>$B24&lt;&gt;""</formula>
    </cfRule>
  </conditionalFormatting>
  <conditionalFormatting sqref="D24">
    <cfRule type="expression" dxfId="754" priority="736">
      <formula>OR($Z24=1,$Z24=12,$Z24=123)</formula>
    </cfRule>
  </conditionalFormatting>
  <conditionalFormatting sqref="E24">
    <cfRule type="expression" dxfId="753" priority="735">
      <formula>OR($Z24=2,$Z24=12,$Z24=123)</formula>
    </cfRule>
  </conditionalFormatting>
  <conditionalFormatting sqref="D23">
    <cfRule type="expression" dxfId="752" priority="734">
      <formula>$B23&lt;&gt;""</formula>
    </cfRule>
  </conditionalFormatting>
  <conditionalFormatting sqref="D23">
    <cfRule type="expression" dxfId="751" priority="733">
      <formula>OR($Z23=1,$Z23=12,$Z23=123)</formula>
    </cfRule>
  </conditionalFormatting>
  <conditionalFormatting sqref="A17:H17">
    <cfRule type="expression" dxfId="750" priority="732">
      <formula>$B17&lt;&gt;""</formula>
    </cfRule>
  </conditionalFormatting>
  <conditionalFormatting sqref="D17">
    <cfRule type="expression" dxfId="749" priority="731">
      <formula>OR($Z17=1,$Z17=12,$Z17=123)</formula>
    </cfRule>
  </conditionalFormatting>
  <conditionalFormatting sqref="E17">
    <cfRule type="expression" dxfId="748" priority="730">
      <formula>OR($Z17=2,$Z17=12,$Z17=123)</formula>
    </cfRule>
  </conditionalFormatting>
  <conditionalFormatting sqref="D18:E18">
    <cfRule type="expression" dxfId="747" priority="729">
      <formula>$B18&lt;&gt;""</formula>
    </cfRule>
  </conditionalFormatting>
  <conditionalFormatting sqref="D18">
    <cfRule type="expression" dxfId="746" priority="728">
      <formula>OR($Z18=1,$Z18=12,$Z18=123)</formula>
    </cfRule>
  </conditionalFormatting>
  <conditionalFormatting sqref="E18">
    <cfRule type="expression" dxfId="745" priority="727">
      <formula>OR($Z18=2,$Z18=12,$Z18=123)</formula>
    </cfRule>
  </conditionalFormatting>
  <conditionalFormatting sqref="D21:E21">
    <cfRule type="expression" dxfId="744" priority="726">
      <formula>$B21&lt;&gt;""</formula>
    </cfRule>
  </conditionalFormatting>
  <conditionalFormatting sqref="D21">
    <cfRule type="expression" dxfId="743" priority="725">
      <formula>OR($Z21=1,$Z21=12,$Z21=123)</formula>
    </cfRule>
  </conditionalFormatting>
  <conditionalFormatting sqref="E21">
    <cfRule type="expression" dxfId="742" priority="724">
      <formula>OR($Z21=2,$Z21=12,$Z21=123)</formula>
    </cfRule>
  </conditionalFormatting>
  <conditionalFormatting sqref="D19:E19">
    <cfRule type="expression" dxfId="741" priority="723">
      <formula>$B19&lt;&gt;""</formula>
    </cfRule>
  </conditionalFormatting>
  <conditionalFormatting sqref="D19">
    <cfRule type="expression" dxfId="740" priority="722">
      <formula>OR($Z19=1,$Z19=12,$Z19=123)</formula>
    </cfRule>
  </conditionalFormatting>
  <conditionalFormatting sqref="E19">
    <cfRule type="expression" dxfId="739" priority="721">
      <formula>OR($Z19=2,$Z19=12,$Z19=123)</formula>
    </cfRule>
  </conditionalFormatting>
  <conditionalFormatting sqref="D20:E20">
    <cfRule type="expression" dxfId="738" priority="720">
      <formula>$B20&lt;&gt;""</formula>
    </cfRule>
  </conditionalFormatting>
  <conditionalFormatting sqref="D20">
    <cfRule type="expression" dxfId="737" priority="719">
      <formula>OR($Z20=1,$Z20=12,$Z20=123)</formula>
    </cfRule>
  </conditionalFormatting>
  <conditionalFormatting sqref="E20">
    <cfRule type="expression" dxfId="736" priority="718">
      <formula>OR($Z20=2,$Z20=12,$Z20=123)</formula>
    </cfRule>
  </conditionalFormatting>
  <conditionalFormatting sqref="E22">
    <cfRule type="expression" dxfId="735" priority="717">
      <formula>$B22&lt;&gt;""</formula>
    </cfRule>
  </conditionalFormatting>
  <conditionalFormatting sqref="E22">
    <cfRule type="expression" dxfId="734" priority="716">
      <formula>OR($Z22=2,$Z22=12,$Z22=123)</formula>
    </cfRule>
  </conditionalFormatting>
  <conditionalFormatting sqref="D23:E23">
    <cfRule type="expression" dxfId="733" priority="715">
      <formula>$B23&lt;&gt;""</formula>
    </cfRule>
  </conditionalFormatting>
  <conditionalFormatting sqref="D23">
    <cfRule type="expression" dxfId="732" priority="714">
      <formula>OR($Z23=1,$Z23=12,$Z23=123)</formula>
    </cfRule>
  </conditionalFormatting>
  <conditionalFormatting sqref="E23">
    <cfRule type="expression" dxfId="731" priority="713">
      <formula>OR($Z23=2,$Z23=12,$Z23=123)</formula>
    </cfRule>
  </conditionalFormatting>
  <conditionalFormatting sqref="D25:E25">
    <cfRule type="expression" dxfId="730" priority="712">
      <formula>$B25&lt;&gt;""</formula>
    </cfRule>
  </conditionalFormatting>
  <conditionalFormatting sqref="D25">
    <cfRule type="expression" dxfId="729" priority="711">
      <formula>OR($Z25=1,$Z25=12,$Z25=123)</formula>
    </cfRule>
  </conditionalFormatting>
  <conditionalFormatting sqref="E25">
    <cfRule type="expression" dxfId="728" priority="710">
      <formula>OR($Z25=2,$Z25=12,$Z25=123)</formula>
    </cfRule>
  </conditionalFormatting>
  <conditionalFormatting sqref="D26:E26">
    <cfRule type="expression" dxfId="727" priority="709">
      <formula>$B26&lt;&gt;""</formula>
    </cfRule>
  </conditionalFormatting>
  <conditionalFormatting sqref="D26">
    <cfRule type="expression" dxfId="726" priority="708">
      <formula>OR($Z26=1,$Z26=12,$Z26=123)</formula>
    </cfRule>
  </conditionalFormatting>
  <conditionalFormatting sqref="E26">
    <cfRule type="expression" dxfId="725" priority="707">
      <formula>OR($Z26=2,$Z26=12,$Z26=123)</formula>
    </cfRule>
  </conditionalFormatting>
  <conditionalFormatting sqref="D22">
    <cfRule type="expression" dxfId="724" priority="706">
      <formula>$B22&lt;&gt;""</formula>
    </cfRule>
  </conditionalFormatting>
  <conditionalFormatting sqref="D22">
    <cfRule type="expression" dxfId="723" priority="705">
      <formula>OR($Z22=1,$Z22=12,$Z22=123)</formula>
    </cfRule>
  </conditionalFormatting>
  <conditionalFormatting sqref="A18:H18">
    <cfRule type="expression" dxfId="722" priority="704">
      <formula>$B18&lt;&gt;""</formula>
    </cfRule>
  </conditionalFormatting>
  <conditionalFormatting sqref="D18">
    <cfRule type="expression" dxfId="721" priority="703">
      <formula>OR($Z18=1,$Z18=12,$Z18=123)</formula>
    </cfRule>
  </conditionalFormatting>
  <conditionalFormatting sqref="E18">
    <cfRule type="expression" dxfId="720" priority="702">
      <formula>OR($Z18=2,$Z18=12,$Z18=123)</formula>
    </cfRule>
  </conditionalFormatting>
  <conditionalFormatting sqref="D19:E19">
    <cfRule type="expression" dxfId="719" priority="701">
      <formula>$B19&lt;&gt;""</formula>
    </cfRule>
  </conditionalFormatting>
  <conditionalFormatting sqref="D19">
    <cfRule type="expression" dxfId="718" priority="700">
      <formula>OR($Z19=1,$Z19=12,$Z19=123)</formula>
    </cfRule>
  </conditionalFormatting>
  <conditionalFormatting sqref="E19">
    <cfRule type="expression" dxfId="717" priority="699">
      <formula>OR($Z19=2,$Z19=12,$Z19=123)</formula>
    </cfRule>
  </conditionalFormatting>
  <conditionalFormatting sqref="D22:E22">
    <cfRule type="expression" dxfId="716" priority="698">
      <formula>$B22&lt;&gt;""</formula>
    </cfRule>
  </conditionalFormatting>
  <conditionalFormatting sqref="D22">
    <cfRule type="expression" dxfId="715" priority="697">
      <formula>OR($Z22=1,$Z22=12,$Z22=123)</formula>
    </cfRule>
  </conditionalFormatting>
  <conditionalFormatting sqref="E22">
    <cfRule type="expression" dxfId="714" priority="696">
      <formula>OR($Z22=2,$Z22=12,$Z22=123)</formula>
    </cfRule>
  </conditionalFormatting>
  <conditionalFormatting sqref="D20:E20">
    <cfRule type="expression" dxfId="713" priority="695">
      <formula>$B20&lt;&gt;""</formula>
    </cfRule>
  </conditionalFormatting>
  <conditionalFormatting sqref="D20">
    <cfRule type="expression" dxfId="712" priority="694">
      <formula>OR($Z20=1,$Z20=12,$Z20=123)</formula>
    </cfRule>
  </conditionalFormatting>
  <conditionalFormatting sqref="E20">
    <cfRule type="expression" dxfId="711" priority="693">
      <formula>OR($Z20=2,$Z20=12,$Z20=123)</formula>
    </cfRule>
  </conditionalFormatting>
  <conditionalFormatting sqref="D21:E21">
    <cfRule type="expression" dxfId="710" priority="692">
      <formula>$B21&lt;&gt;""</formula>
    </cfRule>
  </conditionalFormatting>
  <conditionalFormatting sqref="D21">
    <cfRule type="expression" dxfId="709" priority="691">
      <formula>OR($Z21=1,$Z21=12,$Z21=123)</formula>
    </cfRule>
  </conditionalFormatting>
  <conditionalFormatting sqref="E21">
    <cfRule type="expression" dxfId="708" priority="690">
      <formula>OR($Z21=2,$Z21=12,$Z21=123)</formula>
    </cfRule>
  </conditionalFormatting>
  <conditionalFormatting sqref="E23">
    <cfRule type="expression" dxfId="707" priority="689">
      <formula>$B23&lt;&gt;""</formula>
    </cfRule>
  </conditionalFormatting>
  <conditionalFormatting sqref="E23">
    <cfRule type="expression" dxfId="706" priority="688">
      <formula>OR($Z23=2,$Z23=12,$Z23=123)</formula>
    </cfRule>
  </conditionalFormatting>
  <conditionalFormatting sqref="D24:E24">
    <cfRule type="expression" dxfId="705" priority="687">
      <formula>$B24&lt;&gt;""</formula>
    </cfRule>
  </conditionalFormatting>
  <conditionalFormatting sqref="D24">
    <cfRule type="expression" dxfId="704" priority="686">
      <formula>OR($Z24=1,$Z24=12,$Z24=123)</formula>
    </cfRule>
  </conditionalFormatting>
  <conditionalFormatting sqref="E24">
    <cfRule type="expression" dxfId="703" priority="685">
      <formula>OR($Z24=2,$Z24=12,$Z24=123)</formula>
    </cfRule>
  </conditionalFormatting>
  <conditionalFormatting sqref="D23">
    <cfRule type="expression" dxfId="702" priority="684">
      <formula>$B23&lt;&gt;""</formula>
    </cfRule>
  </conditionalFormatting>
  <conditionalFormatting sqref="D23">
    <cfRule type="expression" dxfId="701" priority="683">
      <formula>OR($Z23=1,$Z23=12,$Z23=123)</formula>
    </cfRule>
  </conditionalFormatting>
  <conditionalFormatting sqref="A18:H18">
    <cfRule type="expression" dxfId="700" priority="682">
      <formula>$B18&lt;&gt;""</formula>
    </cfRule>
  </conditionalFormatting>
  <conditionalFormatting sqref="D18">
    <cfRule type="expression" dxfId="699" priority="681">
      <formula>OR($Z18=1,$Z18=12,$Z18=123)</formula>
    </cfRule>
  </conditionalFormatting>
  <conditionalFormatting sqref="E18">
    <cfRule type="expression" dxfId="698" priority="680">
      <formula>OR($Z18=2,$Z18=12,$Z18=123)</formula>
    </cfRule>
  </conditionalFormatting>
  <conditionalFormatting sqref="D19:E19">
    <cfRule type="expression" dxfId="697" priority="679">
      <formula>$B19&lt;&gt;""</formula>
    </cfRule>
  </conditionalFormatting>
  <conditionalFormatting sqref="D19">
    <cfRule type="expression" dxfId="696" priority="678">
      <formula>OR($Z19=1,$Z19=12,$Z19=123)</formula>
    </cfRule>
  </conditionalFormatting>
  <conditionalFormatting sqref="E19">
    <cfRule type="expression" dxfId="695" priority="677">
      <formula>OR($Z19=2,$Z19=12,$Z19=123)</formula>
    </cfRule>
  </conditionalFormatting>
  <conditionalFormatting sqref="D22:E22">
    <cfRule type="expression" dxfId="694" priority="676">
      <formula>$B22&lt;&gt;""</formula>
    </cfRule>
  </conditionalFormatting>
  <conditionalFormatting sqref="D22">
    <cfRule type="expression" dxfId="693" priority="675">
      <formula>OR($Z22=1,$Z22=12,$Z22=123)</formula>
    </cfRule>
  </conditionalFormatting>
  <conditionalFormatting sqref="E22">
    <cfRule type="expression" dxfId="692" priority="674">
      <formula>OR($Z22=2,$Z22=12,$Z22=123)</formula>
    </cfRule>
  </conditionalFormatting>
  <conditionalFormatting sqref="D20:E20">
    <cfRule type="expression" dxfId="691" priority="673">
      <formula>$B20&lt;&gt;""</formula>
    </cfRule>
  </conditionalFormatting>
  <conditionalFormatting sqref="D20">
    <cfRule type="expression" dxfId="690" priority="672">
      <formula>OR($Z20=1,$Z20=12,$Z20=123)</formula>
    </cfRule>
  </conditionalFormatting>
  <conditionalFormatting sqref="E20">
    <cfRule type="expression" dxfId="689" priority="671">
      <formula>OR($Z20=2,$Z20=12,$Z20=123)</formula>
    </cfRule>
  </conditionalFormatting>
  <conditionalFormatting sqref="D21:E21">
    <cfRule type="expression" dxfId="688" priority="670">
      <formula>$B21&lt;&gt;""</formula>
    </cfRule>
  </conditionalFormatting>
  <conditionalFormatting sqref="D21">
    <cfRule type="expression" dxfId="687" priority="669">
      <formula>OR($Z21=1,$Z21=12,$Z21=123)</formula>
    </cfRule>
  </conditionalFormatting>
  <conditionalFormatting sqref="E21">
    <cfRule type="expression" dxfId="686" priority="668">
      <formula>OR($Z21=2,$Z21=12,$Z21=123)</formula>
    </cfRule>
  </conditionalFormatting>
  <conditionalFormatting sqref="E23">
    <cfRule type="expression" dxfId="685" priority="667">
      <formula>$B23&lt;&gt;""</formula>
    </cfRule>
  </conditionalFormatting>
  <conditionalFormatting sqref="E23">
    <cfRule type="expression" dxfId="684" priority="666">
      <formula>OR($Z23=2,$Z23=12,$Z23=123)</formula>
    </cfRule>
  </conditionalFormatting>
  <conditionalFormatting sqref="D24:E24">
    <cfRule type="expression" dxfId="683" priority="665">
      <formula>$B24&lt;&gt;""</formula>
    </cfRule>
  </conditionalFormatting>
  <conditionalFormatting sqref="D24">
    <cfRule type="expression" dxfId="682" priority="664">
      <formula>OR($Z24=1,$Z24=12,$Z24=123)</formula>
    </cfRule>
  </conditionalFormatting>
  <conditionalFormatting sqref="E24">
    <cfRule type="expression" dxfId="681" priority="663">
      <formula>OR($Z24=2,$Z24=12,$Z24=123)</formula>
    </cfRule>
  </conditionalFormatting>
  <conditionalFormatting sqref="D26:E26">
    <cfRule type="expression" dxfId="680" priority="662">
      <formula>$B26&lt;&gt;""</formula>
    </cfRule>
  </conditionalFormatting>
  <conditionalFormatting sqref="D26">
    <cfRule type="expression" dxfId="679" priority="661">
      <formula>OR($Z26=1,$Z26=12,$Z26=123)</formula>
    </cfRule>
  </conditionalFormatting>
  <conditionalFormatting sqref="E26">
    <cfRule type="expression" dxfId="678" priority="660">
      <formula>OR($Z26=2,$Z26=12,$Z26=123)</formula>
    </cfRule>
  </conditionalFormatting>
  <conditionalFormatting sqref="D23">
    <cfRule type="expression" dxfId="677" priority="659">
      <formula>$B23&lt;&gt;""</formula>
    </cfRule>
  </conditionalFormatting>
  <conditionalFormatting sqref="D23">
    <cfRule type="expression" dxfId="676" priority="658">
      <formula>OR($Z23=1,$Z23=12,$Z23=123)</formula>
    </cfRule>
  </conditionalFormatting>
  <conditionalFormatting sqref="A19:H19">
    <cfRule type="expression" dxfId="675" priority="657">
      <formula>$B19&lt;&gt;""</formula>
    </cfRule>
  </conditionalFormatting>
  <conditionalFormatting sqref="D19">
    <cfRule type="expression" dxfId="674" priority="656">
      <formula>OR($Z19=1,$Z19=12,$Z19=123)</formula>
    </cfRule>
  </conditionalFormatting>
  <conditionalFormatting sqref="E19">
    <cfRule type="expression" dxfId="673" priority="655">
      <formula>OR($Z19=2,$Z19=12,$Z19=123)</formula>
    </cfRule>
  </conditionalFormatting>
  <conditionalFormatting sqref="D20:E20">
    <cfRule type="expression" dxfId="672" priority="654">
      <formula>$B20&lt;&gt;""</formula>
    </cfRule>
  </conditionalFormatting>
  <conditionalFormatting sqref="D20">
    <cfRule type="expression" dxfId="671" priority="653">
      <formula>OR($Z20=1,$Z20=12,$Z20=123)</formula>
    </cfRule>
  </conditionalFormatting>
  <conditionalFormatting sqref="E20">
    <cfRule type="expression" dxfId="670" priority="652">
      <formula>OR($Z20=2,$Z20=12,$Z20=123)</formula>
    </cfRule>
  </conditionalFormatting>
  <conditionalFormatting sqref="D23:E23">
    <cfRule type="expression" dxfId="669" priority="651">
      <formula>$B23&lt;&gt;""</formula>
    </cfRule>
  </conditionalFormatting>
  <conditionalFormatting sqref="D23">
    <cfRule type="expression" dxfId="668" priority="650">
      <formula>OR($Z23=1,$Z23=12,$Z23=123)</formula>
    </cfRule>
  </conditionalFormatting>
  <conditionalFormatting sqref="E23">
    <cfRule type="expression" dxfId="667" priority="649">
      <formula>OR($Z23=2,$Z23=12,$Z23=123)</formula>
    </cfRule>
  </conditionalFormatting>
  <conditionalFormatting sqref="D21:E21">
    <cfRule type="expression" dxfId="666" priority="648">
      <formula>$B21&lt;&gt;""</formula>
    </cfRule>
  </conditionalFormatting>
  <conditionalFormatting sqref="D21">
    <cfRule type="expression" dxfId="665" priority="647">
      <formula>OR($Z21=1,$Z21=12,$Z21=123)</formula>
    </cfRule>
  </conditionalFormatting>
  <conditionalFormatting sqref="E21">
    <cfRule type="expression" dxfId="664" priority="646">
      <formula>OR($Z21=2,$Z21=12,$Z21=123)</formula>
    </cfRule>
  </conditionalFormatting>
  <conditionalFormatting sqref="D22:E22">
    <cfRule type="expression" dxfId="663" priority="645">
      <formula>$B22&lt;&gt;""</formula>
    </cfRule>
  </conditionalFormatting>
  <conditionalFormatting sqref="D22">
    <cfRule type="expression" dxfId="662" priority="644">
      <formula>OR($Z22=1,$Z22=12,$Z22=123)</formula>
    </cfRule>
  </conditionalFormatting>
  <conditionalFormatting sqref="E22">
    <cfRule type="expression" dxfId="661" priority="643">
      <formula>OR($Z22=2,$Z22=12,$Z22=123)</formula>
    </cfRule>
  </conditionalFormatting>
  <conditionalFormatting sqref="E24">
    <cfRule type="expression" dxfId="660" priority="642">
      <formula>$B24&lt;&gt;""</formula>
    </cfRule>
  </conditionalFormatting>
  <conditionalFormatting sqref="E24">
    <cfRule type="expression" dxfId="659" priority="641">
      <formula>OR($Z24=2,$Z24=12,$Z24=123)</formula>
    </cfRule>
  </conditionalFormatting>
  <conditionalFormatting sqref="D25:E25">
    <cfRule type="expression" dxfId="658" priority="640">
      <formula>$B25&lt;&gt;""</formula>
    </cfRule>
  </conditionalFormatting>
  <conditionalFormatting sqref="D25">
    <cfRule type="expression" dxfId="657" priority="639">
      <formula>OR($Z25=1,$Z25=12,$Z25=123)</formula>
    </cfRule>
  </conditionalFormatting>
  <conditionalFormatting sqref="E25">
    <cfRule type="expression" dxfId="656" priority="638">
      <formula>OR($Z25=2,$Z25=12,$Z25=123)</formula>
    </cfRule>
  </conditionalFormatting>
  <conditionalFormatting sqref="D24">
    <cfRule type="expression" dxfId="655" priority="637">
      <formula>$B24&lt;&gt;""</formula>
    </cfRule>
  </conditionalFormatting>
  <conditionalFormatting sqref="D24">
    <cfRule type="expression" dxfId="654" priority="636">
      <formula>OR($Z24=1,$Z24=12,$Z24=123)</formula>
    </cfRule>
  </conditionalFormatting>
  <conditionalFormatting sqref="D23:E23">
    <cfRule type="expression" dxfId="653" priority="635">
      <formula>$B23&lt;&gt;""</formula>
    </cfRule>
  </conditionalFormatting>
  <conditionalFormatting sqref="D23">
    <cfRule type="expression" dxfId="652" priority="634">
      <formula>OR($Z23=1,$Z23=12,$Z23=123)</formula>
    </cfRule>
  </conditionalFormatting>
  <conditionalFormatting sqref="E23">
    <cfRule type="expression" dxfId="651" priority="633">
      <formula>OR($Z23=2,$Z23=12,$Z23=123)</formula>
    </cfRule>
  </conditionalFormatting>
  <conditionalFormatting sqref="D24:E24">
    <cfRule type="expression" dxfId="650" priority="632">
      <formula>$B24&lt;&gt;""</formula>
    </cfRule>
  </conditionalFormatting>
  <conditionalFormatting sqref="D24">
    <cfRule type="expression" dxfId="649" priority="631">
      <formula>OR($Z24=1,$Z24=12,$Z24=123)</formula>
    </cfRule>
  </conditionalFormatting>
  <conditionalFormatting sqref="E24">
    <cfRule type="expression" dxfId="648" priority="630">
      <formula>OR($Z24=2,$Z24=12,$Z24=123)</formula>
    </cfRule>
  </conditionalFormatting>
  <conditionalFormatting sqref="D26:E26">
    <cfRule type="expression" dxfId="647" priority="629">
      <formula>$B26&lt;&gt;""</formula>
    </cfRule>
  </conditionalFormatting>
  <conditionalFormatting sqref="D26">
    <cfRule type="expression" dxfId="646" priority="628">
      <formula>OR($Z26=1,$Z26=12,$Z26=123)</formula>
    </cfRule>
  </conditionalFormatting>
  <conditionalFormatting sqref="E26">
    <cfRule type="expression" dxfId="645" priority="627">
      <formula>OR($Z26=2,$Z26=12,$Z26=123)</formula>
    </cfRule>
  </conditionalFormatting>
  <conditionalFormatting sqref="D24:E24">
    <cfRule type="expression" dxfId="644" priority="626">
      <formula>$B24&lt;&gt;""</formula>
    </cfRule>
  </conditionalFormatting>
  <conditionalFormatting sqref="D24">
    <cfRule type="expression" dxfId="643" priority="625">
      <formula>OR($Z24=1,$Z24=12,$Z24=123)</formula>
    </cfRule>
  </conditionalFormatting>
  <conditionalFormatting sqref="E24">
    <cfRule type="expression" dxfId="642" priority="624">
      <formula>OR($Z24=2,$Z24=12,$Z24=123)</formula>
    </cfRule>
  </conditionalFormatting>
  <conditionalFormatting sqref="D25:E25">
    <cfRule type="expression" dxfId="641" priority="623">
      <formula>$B25&lt;&gt;""</formula>
    </cfRule>
  </conditionalFormatting>
  <conditionalFormatting sqref="D25">
    <cfRule type="expression" dxfId="640" priority="622">
      <formula>OR($Z25=1,$Z25=12,$Z25=123)</formula>
    </cfRule>
  </conditionalFormatting>
  <conditionalFormatting sqref="E25">
    <cfRule type="expression" dxfId="639" priority="621">
      <formula>OR($Z25=2,$Z25=12,$Z25=123)</formula>
    </cfRule>
  </conditionalFormatting>
  <conditionalFormatting sqref="D23:E23">
    <cfRule type="expression" dxfId="638" priority="620">
      <formula>$B23&lt;&gt;""</formula>
    </cfRule>
  </conditionalFormatting>
  <conditionalFormatting sqref="D23">
    <cfRule type="expression" dxfId="637" priority="619">
      <formula>OR($Z23=1,$Z23=12,$Z23=123)</formula>
    </cfRule>
  </conditionalFormatting>
  <conditionalFormatting sqref="E23">
    <cfRule type="expression" dxfId="636" priority="618">
      <formula>OR($Z23=2,$Z23=12,$Z23=123)</formula>
    </cfRule>
  </conditionalFormatting>
  <conditionalFormatting sqref="D24:E24">
    <cfRule type="expression" dxfId="635" priority="617">
      <formula>$B24&lt;&gt;""</formula>
    </cfRule>
  </conditionalFormatting>
  <conditionalFormatting sqref="D24">
    <cfRule type="expression" dxfId="634" priority="616">
      <formula>OR($Z24=1,$Z24=12,$Z24=123)</formula>
    </cfRule>
  </conditionalFormatting>
  <conditionalFormatting sqref="E24">
    <cfRule type="expression" dxfId="633" priority="615">
      <formula>OR($Z24=2,$Z24=12,$Z24=123)</formula>
    </cfRule>
  </conditionalFormatting>
  <conditionalFormatting sqref="D25:E25">
    <cfRule type="expression" dxfId="632" priority="614">
      <formula>$B25&lt;&gt;""</formula>
    </cfRule>
  </conditionalFormatting>
  <conditionalFormatting sqref="D25">
    <cfRule type="expression" dxfId="631" priority="613">
      <formula>OR($Z25=1,$Z25=12,$Z25=123)</formula>
    </cfRule>
  </conditionalFormatting>
  <conditionalFormatting sqref="E25">
    <cfRule type="expression" dxfId="630" priority="612">
      <formula>OR($Z25=2,$Z25=12,$Z25=123)</formula>
    </cfRule>
  </conditionalFormatting>
  <conditionalFormatting sqref="D23:E23">
    <cfRule type="expression" dxfId="629" priority="611">
      <formula>$B23&lt;&gt;""</formula>
    </cfRule>
  </conditionalFormatting>
  <conditionalFormatting sqref="D23">
    <cfRule type="expression" dxfId="628" priority="610">
      <formula>OR($Z23=1,$Z23=12,$Z23=123)</formula>
    </cfRule>
  </conditionalFormatting>
  <conditionalFormatting sqref="E23">
    <cfRule type="expression" dxfId="627" priority="609">
      <formula>OR($Z23=2,$Z23=12,$Z23=123)</formula>
    </cfRule>
  </conditionalFormatting>
  <conditionalFormatting sqref="D23:E23">
    <cfRule type="expression" dxfId="626" priority="608">
      <formula>$B23&lt;&gt;""</formula>
    </cfRule>
  </conditionalFormatting>
  <conditionalFormatting sqref="D23">
    <cfRule type="expression" dxfId="625" priority="607">
      <formula>OR($Z23=1,$Z23=12,$Z23=123)</formula>
    </cfRule>
  </conditionalFormatting>
  <conditionalFormatting sqref="E23">
    <cfRule type="expression" dxfId="624" priority="606">
      <formula>OR($Z23=2,$Z23=12,$Z23=123)</formula>
    </cfRule>
  </conditionalFormatting>
  <conditionalFormatting sqref="D25:E25">
    <cfRule type="expression" dxfId="623" priority="605">
      <formula>$B25&lt;&gt;""</formula>
    </cfRule>
  </conditionalFormatting>
  <conditionalFormatting sqref="D25">
    <cfRule type="expression" dxfId="622" priority="604">
      <formula>OR($Z25=1,$Z25=12,$Z25=123)</formula>
    </cfRule>
  </conditionalFormatting>
  <conditionalFormatting sqref="E25">
    <cfRule type="expression" dxfId="621" priority="603">
      <formula>OR($Z25=2,$Z25=12,$Z25=123)</formula>
    </cfRule>
  </conditionalFormatting>
  <conditionalFormatting sqref="D26:E26">
    <cfRule type="expression" dxfId="620" priority="602">
      <formula>$B26&lt;&gt;""</formula>
    </cfRule>
  </conditionalFormatting>
  <conditionalFormatting sqref="D26">
    <cfRule type="expression" dxfId="619" priority="601">
      <formula>OR($Z26=1,$Z26=12,$Z26=123)</formula>
    </cfRule>
  </conditionalFormatting>
  <conditionalFormatting sqref="E26">
    <cfRule type="expression" dxfId="618" priority="600">
      <formula>OR($Z26=2,$Z26=12,$Z26=123)</formula>
    </cfRule>
  </conditionalFormatting>
  <conditionalFormatting sqref="E23">
    <cfRule type="expression" dxfId="617" priority="599">
      <formula>$B23&lt;&gt;""</formula>
    </cfRule>
  </conditionalFormatting>
  <conditionalFormatting sqref="E23">
    <cfRule type="expression" dxfId="616" priority="598">
      <formula>OR($Z23=2,$Z23=12,$Z23=123)</formula>
    </cfRule>
  </conditionalFormatting>
  <conditionalFormatting sqref="D24:E24">
    <cfRule type="expression" dxfId="615" priority="597">
      <formula>$B24&lt;&gt;""</formula>
    </cfRule>
  </conditionalFormatting>
  <conditionalFormatting sqref="D24">
    <cfRule type="expression" dxfId="614" priority="596">
      <formula>OR($Z24=1,$Z24=12,$Z24=123)</formula>
    </cfRule>
  </conditionalFormatting>
  <conditionalFormatting sqref="E24">
    <cfRule type="expression" dxfId="613" priority="595">
      <formula>OR($Z24=2,$Z24=12,$Z24=123)</formula>
    </cfRule>
  </conditionalFormatting>
  <conditionalFormatting sqref="D23">
    <cfRule type="expression" dxfId="612" priority="594">
      <formula>$B23&lt;&gt;""</formula>
    </cfRule>
  </conditionalFormatting>
  <conditionalFormatting sqref="D23">
    <cfRule type="expression" dxfId="611" priority="593">
      <formula>OR($Z23=1,$Z23=12,$Z23=123)</formula>
    </cfRule>
  </conditionalFormatting>
  <conditionalFormatting sqref="D20:E20">
    <cfRule type="expression" dxfId="610" priority="592">
      <formula>$B20&lt;&gt;""</formula>
    </cfRule>
  </conditionalFormatting>
  <conditionalFormatting sqref="D20">
    <cfRule type="expression" dxfId="609" priority="591">
      <formula>OR($Z20=1,$Z20=12,$Z20=123)</formula>
    </cfRule>
  </conditionalFormatting>
  <conditionalFormatting sqref="E20">
    <cfRule type="expression" dxfId="608" priority="590">
      <formula>OR($Z20=2,$Z20=12,$Z20=123)</formula>
    </cfRule>
  </conditionalFormatting>
  <conditionalFormatting sqref="D18:E18">
    <cfRule type="expression" dxfId="607" priority="589">
      <formula>$B18&lt;&gt;""</formula>
    </cfRule>
  </conditionalFormatting>
  <conditionalFormatting sqref="D18">
    <cfRule type="expression" dxfId="606" priority="588">
      <formula>OR($Z18=1,$Z18=12,$Z18=123)</formula>
    </cfRule>
  </conditionalFormatting>
  <conditionalFormatting sqref="E18">
    <cfRule type="expression" dxfId="605" priority="587">
      <formula>OR($Z18=2,$Z18=12,$Z18=123)</formula>
    </cfRule>
  </conditionalFormatting>
  <conditionalFormatting sqref="D19:E19">
    <cfRule type="expression" dxfId="604" priority="586">
      <formula>$B19&lt;&gt;""</formula>
    </cfRule>
  </conditionalFormatting>
  <conditionalFormatting sqref="D19">
    <cfRule type="expression" dxfId="603" priority="585">
      <formula>OR($Z19=1,$Z19=12,$Z19=123)</formula>
    </cfRule>
  </conditionalFormatting>
  <conditionalFormatting sqref="E19">
    <cfRule type="expression" dxfId="602" priority="584">
      <formula>OR($Z19=2,$Z19=12,$Z19=123)</formula>
    </cfRule>
  </conditionalFormatting>
  <conditionalFormatting sqref="E21">
    <cfRule type="expression" dxfId="601" priority="583">
      <formula>$B21&lt;&gt;""</formula>
    </cfRule>
  </conditionalFormatting>
  <conditionalFormatting sqref="E21">
    <cfRule type="expression" dxfId="600" priority="582">
      <formula>OR($Z21=2,$Z21=12,$Z21=123)</formula>
    </cfRule>
  </conditionalFormatting>
  <conditionalFormatting sqref="D22:E22">
    <cfRule type="expression" dxfId="599" priority="581">
      <formula>$B22&lt;&gt;""</formula>
    </cfRule>
  </conditionalFormatting>
  <conditionalFormatting sqref="D22">
    <cfRule type="expression" dxfId="598" priority="580">
      <formula>OR($Z22=1,$Z22=12,$Z22=123)</formula>
    </cfRule>
  </conditionalFormatting>
  <conditionalFormatting sqref="E22">
    <cfRule type="expression" dxfId="597" priority="579">
      <formula>OR($Z22=2,$Z22=12,$Z22=123)</formula>
    </cfRule>
  </conditionalFormatting>
  <conditionalFormatting sqref="D24:E24">
    <cfRule type="expression" dxfId="596" priority="578">
      <formula>$B24&lt;&gt;""</formula>
    </cfRule>
  </conditionalFormatting>
  <conditionalFormatting sqref="D24">
    <cfRule type="expression" dxfId="595" priority="577">
      <formula>OR($Z24=1,$Z24=12,$Z24=123)</formula>
    </cfRule>
  </conditionalFormatting>
  <conditionalFormatting sqref="E24">
    <cfRule type="expression" dxfId="594" priority="576">
      <formula>OR($Z24=2,$Z24=12,$Z24=123)</formula>
    </cfRule>
  </conditionalFormatting>
  <conditionalFormatting sqref="D25:E25">
    <cfRule type="expression" dxfId="593" priority="575">
      <formula>$B25&lt;&gt;""</formula>
    </cfRule>
  </conditionalFormatting>
  <conditionalFormatting sqref="D25">
    <cfRule type="expression" dxfId="592" priority="574">
      <formula>OR($Z25=1,$Z25=12,$Z25=123)</formula>
    </cfRule>
  </conditionalFormatting>
  <conditionalFormatting sqref="E25">
    <cfRule type="expression" dxfId="591" priority="573">
      <formula>OR($Z25=2,$Z25=12,$Z25=123)</formula>
    </cfRule>
  </conditionalFormatting>
  <conditionalFormatting sqref="D21">
    <cfRule type="expression" dxfId="590" priority="572">
      <formula>$B21&lt;&gt;""</formula>
    </cfRule>
  </conditionalFormatting>
  <conditionalFormatting sqref="D21">
    <cfRule type="expression" dxfId="589" priority="571">
      <formula>OR($Z21=1,$Z21=12,$Z21=123)</formula>
    </cfRule>
  </conditionalFormatting>
  <conditionalFormatting sqref="D18:E18">
    <cfRule type="expression" dxfId="588" priority="570">
      <formula>$B18&lt;&gt;""</formula>
    </cfRule>
  </conditionalFormatting>
  <conditionalFormatting sqref="D18">
    <cfRule type="expression" dxfId="587" priority="569">
      <formula>OR($Z18=1,$Z18=12,$Z18=123)</formula>
    </cfRule>
  </conditionalFormatting>
  <conditionalFormatting sqref="E18">
    <cfRule type="expression" dxfId="586" priority="568">
      <formula>OR($Z18=2,$Z18=12,$Z18=123)</formula>
    </cfRule>
  </conditionalFormatting>
  <conditionalFormatting sqref="D21:E21">
    <cfRule type="expression" dxfId="585" priority="567">
      <formula>$B21&lt;&gt;""</formula>
    </cfRule>
  </conditionalFormatting>
  <conditionalFormatting sqref="D21">
    <cfRule type="expression" dxfId="584" priority="566">
      <formula>OR($Z21=1,$Z21=12,$Z21=123)</formula>
    </cfRule>
  </conditionalFormatting>
  <conditionalFormatting sqref="E21">
    <cfRule type="expression" dxfId="583" priority="565">
      <formula>OR($Z21=2,$Z21=12,$Z21=123)</formula>
    </cfRule>
  </conditionalFormatting>
  <conditionalFormatting sqref="D19:E19">
    <cfRule type="expression" dxfId="582" priority="564">
      <formula>$B19&lt;&gt;""</formula>
    </cfRule>
  </conditionalFormatting>
  <conditionalFormatting sqref="D19">
    <cfRule type="expression" dxfId="581" priority="563">
      <formula>OR($Z19=1,$Z19=12,$Z19=123)</formula>
    </cfRule>
  </conditionalFormatting>
  <conditionalFormatting sqref="E19">
    <cfRule type="expression" dxfId="580" priority="562">
      <formula>OR($Z19=2,$Z19=12,$Z19=123)</formula>
    </cfRule>
  </conditionalFormatting>
  <conditionalFormatting sqref="D20:E20">
    <cfRule type="expression" dxfId="579" priority="561">
      <formula>$B20&lt;&gt;""</formula>
    </cfRule>
  </conditionalFormatting>
  <conditionalFormatting sqref="D20">
    <cfRule type="expression" dxfId="578" priority="560">
      <formula>OR($Z20=1,$Z20=12,$Z20=123)</formula>
    </cfRule>
  </conditionalFormatting>
  <conditionalFormatting sqref="E20">
    <cfRule type="expression" dxfId="577" priority="559">
      <formula>OR($Z20=2,$Z20=12,$Z20=123)</formula>
    </cfRule>
  </conditionalFormatting>
  <conditionalFormatting sqref="E22">
    <cfRule type="expression" dxfId="576" priority="558">
      <formula>$B22&lt;&gt;""</formula>
    </cfRule>
  </conditionalFormatting>
  <conditionalFormatting sqref="E22">
    <cfRule type="expression" dxfId="575" priority="557">
      <formula>OR($Z22=2,$Z22=12,$Z22=123)</formula>
    </cfRule>
  </conditionalFormatting>
  <conditionalFormatting sqref="D23:E23">
    <cfRule type="expression" dxfId="574" priority="556">
      <formula>$B23&lt;&gt;""</formula>
    </cfRule>
  </conditionalFormatting>
  <conditionalFormatting sqref="D23">
    <cfRule type="expression" dxfId="573" priority="555">
      <formula>OR($Z23=1,$Z23=12,$Z23=123)</formula>
    </cfRule>
  </conditionalFormatting>
  <conditionalFormatting sqref="E23">
    <cfRule type="expression" dxfId="572" priority="554">
      <formula>OR($Z23=2,$Z23=12,$Z23=123)</formula>
    </cfRule>
  </conditionalFormatting>
  <conditionalFormatting sqref="D22">
    <cfRule type="expression" dxfId="571" priority="553">
      <formula>$B22&lt;&gt;""</formula>
    </cfRule>
  </conditionalFormatting>
  <conditionalFormatting sqref="D22">
    <cfRule type="expression" dxfId="570" priority="552">
      <formula>OR($Z22=1,$Z22=12,$Z22=123)</formula>
    </cfRule>
  </conditionalFormatting>
  <conditionalFormatting sqref="D18:E18">
    <cfRule type="expression" dxfId="569" priority="551">
      <formula>$B18&lt;&gt;""</formula>
    </cfRule>
  </conditionalFormatting>
  <conditionalFormatting sqref="D18">
    <cfRule type="expression" dxfId="568" priority="550">
      <formula>OR($Z18=1,$Z18=12,$Z18=123)</formula>
    </cfRule>
  </conditionalFormatting>
  <conditionalFormatting sqref="E18">
    <cfRule type="expression" dxfId="567" priority="549">
      <formula>OR($Z18=2,$Z18=12,$Z18=123)</formula>
    </cfRule>
  </conditionalFormatting>
  <conditionalFormatting sqref="D21:E21">
    <cfRule type="expression" dxfId="566" priority="548">
      <formula>$B21&lt;&gt;""</formula>
    </cfRule>
  </conditionalFormatting>
  <conditionalFormatting sqref="D21">
    <cfRule type="expression" dxfId="565" priority="547">
      <formula>OR($Z21=1,$Z21=12,$Z21=123)</formula>
    </cfRule>
  </conditionalFormatting>
  <conditionalFormatting sqref="E21">
    <cfRule type="expression" dxfId="564" priority="546">
      <formula>OR($Z21=2,$Z21=12,$Z21=123)</formula>
    </cfRule>
  </conditionalFormatting>
  <conditionalFormatting sqref="D19:E19">
    <cfRule type="expression" dxfId="563" priority="545">
      <formula>$B19&lt;&gt;""</formula>
    </cfRule>
  </conditionalFormatting>
  <conditionalFormatting sqref="D19">
    <cfRule type="expression" dxfId="562" priority="544">
      <formula>OR($Z19=1,$Z19=12,$Z19=123)</formula>
    </cfRule>
  </conditionalFormatting>
  <conditionalFormatting sqref="E19">
    <cfRule type="expression" dxfId="561" priority="543">
      <formula>OR($Z19=2,$Z19=12,$Z19=123)</formula>
    </cfRule>
  </conditionalFormatting>
  <conditionalFormatting sqref="D20:E20">
    <cfRule type="expression" dxfId="560" priority="542">
      <formula>$B20&lt;&gt;""</formula>
    </cfRule>
  </conditionalFormatting>
  <conditionalFormatting sqref="D20">
    <cfRule type="expression" dxfId="559" priority="541">
      <formula>OR($Z20=1,$Z20=12,$Z20=123)</formula>
    </cfRule>
  </conditionalFormatting>
  <conditionalFormatting sqref="E20">
    <cfRule type="expression" dxfId="558" priority="540">
      <formula>OR($Z20=2,$Z20=12,$Z20=123)</formula>
    </cfRule>
  </conditionalFormatting>
  <conditionalFormatting sqref="E22">
    <cfRule type="expression" dxfId="557" priority="539">
      <formula>$B22&lt;&gt;""</formula>
    </cfRule>
  </conditionalFormatting>
  <conditionalFormatting sqref="E22">
    <cfRule type="expression" dxfId="556" priority="538">
      <formula>OR($Z22=2,$Z22=12,$Z22=123)</formula>
    </cfRule>
  </conditionalFormatting>
  <conditionalFormatting sqref="D23:E23">
    <cfRule type="expression" dxfId="555" priority="537">
      <formula>$B23&lt;&gt;""</formula>
    </cfRule>
  </conditionalFormatting>
  <conditionalFormatting sqref="D23">
    <cfRule type="expression" dxfId="554" priority="536">
      <formula>OR($Z23=1,$Z23=12,$Z23=123)</formula>
    </cfRule>
  </conditionalFormatting>
  <conditionalFormatting sqref="E23">
    <cfRule type="expression" dxfId="553" priority="535">
      <formula>OR($Z23=2,$Z23=12,$Z23=123)</formula>
    </cfRule>
  </conditionalFormatting>
  <conditionalFormatting sqref="D25:E25">
    <cfRule type="expression" dxfId="552" priority="534">
      <formula>$B25&lt;&gt;""</formula>
    </cfRule>
  </conditionalFormatting>
  <conditionalFormatting sqref="D25">
    <cfRule type="expression" dxfId="551" priority="533">
      <formula>OR($Z25=1,$Z25=12,$Z25=123)</formula>
    </cfRule>
  </conditionalFormatting>
  <conditionalFormatting sqref="E25">
    <cfRule type="expression" dxfId="550" priority="532">
      <formula>OR($Z25=2,$Z25=12,$Z25=123)</formula>
    </cfRule>
  </conditionalFormatting>
  <conditionalFormatting sqref="D26:E26">
    <cfRule type="expression" dxfId="549" priority="531">
      <formula>$B26&lt;&gt;""</formula>
    </cfRule>
  </conditionalFormatting>
  <conditionalFormatting sqref="D26">
    <cfRule type="expression" dxfId="548" priority="530">
      <formula>OR($Z26=1,$Z26=12,$Z26=123)</formula>
    </cfRule>
  </conditionalFormatting>
  <conditionalFormatting sqref="E26">
    <cfRule type="expression" dxfId="547" priority="529">
      <formula>OR($Z26=2,$Z26=12,$Z26=123)</formula>
    </cfRule>
  </conditionalFormatting>
  <conditionalFormatting sqref="D22">
    <cfRule type="expression" dxfId="546" priority="528">
      <formula>$B22&lt;&gt;""</formula>
    </cfRule>
  </conditionalFormatting>
  <conditionalFormatting sqref="D22">
    <cfRule type="expression" dxfId="545" priority="527">
      <formula>OR($Z22=1,$Z22=12,$Z22=123)</formula>
    </cfRule>
  </conditionalFormatting>
  <conditionalFormatting sqref="A18:H18">
    <cfRule type="expression" dxfId="544" priority="526">
      <formula>$B18&lt;&gt;""</formula>
    </cfRule>
  </conditionalFormatting>
  <conditionalFormatting sqref="D18">
    <cfRule type="expression" dxfId="543" priority="525">
      <formula>OR($Z18=1,$Z18=12,$Z18=123)</formula>
    </cfRule>
  </conditionalFormatting>
  <conditionalFormatting sqref="E18">
    <cfRule type="expression" dxfId="542" priority="524">
      <formula>OR($Z18=2,$Z18=12,$Z18=123)</formula>
    </cfRule>
  </conditionalFormatting>
  <conditionalFormatting sqref="D19:E19">
    <cfRule type="expression" dxfId="541" priority="523">
      <formula>$B19&lt;&gt;""</formula>
    </cfRule>
  </conditionalFormatting>
  <conditionalFormatting sqref="D19">
    <cfRule type="expression" dxfId="540" priority="522">
      <formula>OR($Z19=1,$Z19=12,$Z19=123)</formula>
    </cfRule>
  </conditionalFormatting>
  <conditionalFormatting sqref="E19">
    <cfRule type="expression" dxfId="539" priority="521">
      <formula>OR($Z19=2,$Z19=12,$Z19=123)</formula>
    </cfRule>
  </conditionalFormatting>
  <conditionalFormatting sqref="D22:E22">
    <cfRule type="expression" dxfId="538" priority="520">
      <formula>$B22&lt;&gt;""</formula>
    </cfRule>
  </conditionalFormatting>
  <conditionalFormatting sqref="D22">
    <cfRule type="expression" dxfId="537" priority="519">
      <formula>OR($Z22=1,$Z22=12,$Z22=123)</formula>
    </cfRule>
  </conditionalFormatting>
  <conditionalFormatting sqref="E22">
    <cfRule type="expression" dxfId="536" priority="518">
      <formula>OR($Z22=2,$Z22=12,$Z22=123)</formula>
    </cfRule>
  </conditionalFormatting>
  <conditionalFormatting sqref="D20:E20">
    <cfRule type="expression" dxfId="535" priority="517">
      <formula>$B20&lt;&gt;""</formula>
    </cfRule>
  </conditionalFormatting>
  <conditionalFormatting sqref="D20">
    <cfRule type="expression" dxfId="534" priority="516">
      <formula>OR($Z20=1,$Z20=12,$Z20=123)</formula>
    </cfRule>
  </conditionalFormatting>
  <conditionalFormatting sqref="E20">
    <cfRule type="expression" dxfId="533" priority="515">
      <formula>OR($Z20=2,$Z20=12,$Z20=123)</formula>
    </cfRule>
  </conditionalFormatting>
  <conditionalFormatting sqref="D21:E21">
    <cfRule type="expression" dxfId="532" priority="514">
      <formula>$B21&lt;&gt;""</formula>
    </cfRule>
  </conditionalFormatting>
  <conditionalFormatting sqref="D21">
    <cfRule type="expression" dxfId="531" priority="513">
      <formula>OR($Z21=1,$Z21=12,$Z21=123)</formula>
    </cfRule>
  </conditionalFormatting>
  <conditionalFormatting sqref="E21">
    <cfRule type="expression" dxfId="530" priority="512">
      <formula>OR($Z21=2,$Z21=12,$Z21=123)</formula>
    </cfRule>
  </conditionalFormatting>
  <conditionalFormatting sqref="E23">
    <cfRule type="expression" dxfId="529" priority="511">
      <formula>$B23&lt;&gt;""</formula>
    </cfRule>
  </conditionalFormatting>
  <conditionalFormatting sqref="E23">
    <cfRule type="expression" dxfId="528" priority="510">
      <formula>OR($Z23=2,$Z23=12,$Z23=123)</formula>
    </cfRule>
  </conditionalFormatting>
  <conditionalFormatting sqref="D24:E24">
    <cfRule type="expression" dxfId="527" priority="509">
      <formula>$B24&lt;&gt;""</formula>
    </cfRule>
  </conditionalFormatting>
  <conditionalFormatting sqref="D24">
    <cfRule type="expression" dxfId="526" priority="508">
      <formula>OR($Z24=1,$Z24=12,$Z24=123)</formula>
    </cfRule>
  </conditionalFormatting>
  <conditionalFormatting sqref="E24">
    <cfRule type="expression" dxfId="525" priority="507">
      <formula>OR($Z24=2,$Z24=12,$Z24=123)</formula>
    </cfRule>
  </conditionalFormatting>
  <conditionalFormatting sqref="D23">
    <cfRule type="expression" dxfId="524" priority="506">
      <formula>$B23&lt;&gt;""</formula>
    </cfRule>
  </conditionalFormatting>
  <conditionalFormatting sqref="D23">
    <cfRule type="expression" dxfId="523" priority="505">
      <formula>OR($Z23=1,$Z23=12,$Z23=123)</formula>
    </cfRule>
  </conditionalFormatting>
  <conditionalFormatting sqref="D18:E18">
    <cfRule type="expression" dxfId="522" priority="504">
      <formula>$B18&lt;&gt;""</formula>
    </cfRule>
  </conditionalFormatting>
  <conditionalFormatting sqref="D18">
    <cfRule type="expression" dxfId="521" priority="503">
      <formula>OR($Z18=1,$Z18=12,$Z18=123)</formula>
    </cfRule>
  </conditionalFormatting>
  <conditionalFormatting sqref="E18">
    <cfRule type="expression" dxfId="520" priority="502">
      <formula>OR($Z18=2,$Z18=12,$Z18=123)</formula>
    </cfRule>
  </conditionalFormatting>
  <conditionalFormatting sqref="D21:E21">
    <cfRule type="expression" dxfId="519" priority="501">
      <formula>$B21&lt;&gt;""</formula>
    </cfRule>
  </conditionalFormatting>
  <conditionalFormatting sqref="D21">
    <cfRule type="expression" dxfId="518" priority="500">
      <formula>OR($Z21=1,$Z21=12,$Z21=123)</formula>
    </cfRule>
  </conditionalFormatting>
  <conditionalFormatting sqref="E21">
    <cfRule type="expression" dxfId="517" priority="499">
      <formula>OR($Z21=2,$Z21=12,$Z21=123)</formula>
    </cfRule>
  </conditionalFormatting>
  <conditionalFormatting sqref="D19:E19">
    <cfRule type="expression" dxfId="516" priority="498">
      <formula>$B19&lt;&gt;""</formula>
    </cfRule>
  </conditionalFormatting>
  <conditionalFormatting sqref="D19">
    <cfRule type="expression" dxfId="515" priority="497">
      <formula>OR($Z19=1,$Z19=12,$Z19=123)</formula>
    </cfRule>
  </conditionalFormatting>
  <conditionalFormatting sqref="E19">
    <cfRule type="expression" dxfId="514" priority="496">
      <formula>OR($Z19=2,$Z19=12,$Z19=123)</formula>
    </cfRule>
  </conditionalFormatting>
  <conditionalFormatting sqref="D20:E20">
    <cfRule type="expression" dxfId="513" priority="495">
      <formula>$B20&lt;&gt;""</formula>
    </cfRule>
  </conditionalFormatting>
  <conditionalFormatting sqref="D20">
    <cfRule type="expression" dxfId="512" priority="494">
      <formula>OR($Z20=1,$Z20=12,$Z20=123)</formula>
    </cfRule>
  </conditionalFormatting>
  <conditionalFormatting sqref="E20">
    <cfRule type="expression" dxfId="511" priority="493">
      <formula>OR($Z20=2,$Z20=12,$Z20=123)</formula>
    </cfRule>
  </conditionalFormatting>
  <conditionalFormatting sqref="E22">
    <cfRule type="expression" dxfId="510" priority="492">
      <formula>$B22&lt;&gt;""</formula>
    </cfRule>
  </conditionalFormatting>
  <conditionalFormatting sqref="E22">
    <cfRule type="expression" dxfId="509" priority="491">
      <formula>OR($Z22=2,$Z22=12,$Z22=123)</formula>
    </cfRule>
  </conditionalFormatting>
  <conditionalFormatting sqref="D23:E23">
    <cfRule type="expression" dxfId="508" priority="490">
      <formula>$B23&lt;&gt;""</formula>
    </cfRule>
  </conditionalFormatting>
  <conditionalFormatting sqref="D23">
    <cfRule type="expression" dxfId="507" priority="489">
      <formula>OR($Z23=1,$Z23=12,$Z23=123)</formula>
    </cfRule>
  </conditionalFormatting>
  <conditionalFormatting sqref="E23">
    <cfRule type="expression" dxfId="506" priority="488">
      <formula>OR($Z23=2,$Z23=12,$Z23=123)</formula>
    </cfRule>
  </conditionalFormatting>
  <conditionalFormatting sqref="D25:E25">
    <cfRule type="expression" dxfId="505" priority="487">
      <formula>$B25&lt;&gt;""</formula>
    </cfRule>
  </conditionalFormatting>
  <conditionalFormatting sqref="D25">
    <cfRule type="expression" dxfId="504" priority="486">
      <formula>OR($Z25=1,$Z25=12,$Z25=123)</formula>
    </cfRule>
  </conditionalFormatting>
  <conditionalFormatting sqref="E25">
    <cfRule type="expression" dxfId="503" priority="485">
      <formula>OR($Z25=2,$Z25=12,$Z25=123)</formula>
    </cfRule>
  </conditionalFormatting>
  <conditionalFormatting sqref="D26:E26">
    <cfRule type="expression" dxfId="502" priority="484">
      <formula>$B26&lt;&gt;""</formula>
    </cfRule>
  </conditionalFormatting>
  <conditionalFormatting sqref="D26">
    <cfRule type="expression" dxfId="501" priority="483">
      <formula>OR($Z26=1,$Z26=12,$Z26=123)</formula>
    </cfRule>
  </conditionalFormatting>
  <conditionalFormatting sqref="E26">
    <cfRule type="expression" dxfId="500" priority="482">
      <formula>OR($Z26=2,$Z26=12,$Z26=123)</formula>
    </cfRule>
  </conditionalFormatting>
  <conditionalFormatting sqref="D22">
    <cfRule type="expression" dxfId="499" priority="481">
      <formula>$B22&lt;&gt;""</formula>
    </cfRule>
  </conditionalFormatting>
  <conditionalFormatting sqref="D22">
    <cfRule type="expression" dxfId="498" priority="480">
      <formula>OR($Z22=1,$Z22=12,$Z22=123)</formula>
    </cfRule>
  </conditionalFormatting>
  <conditionalFormatting sqref="A18:H18">
    <cfRule type="expression" dxfId="497" priority="479">
      <formula>$B18&lt;&gt;""</formula>
    </cfRule>
  </conditionalFormatting>
  <conditionalFormatting sqref="D18">
    <cfRule type="expression" dxfId="496" priority="478">
      <formula>OR($Z18=1,$Z18=12,$Z18=123)</formula>
    </cfRule>
  </conditionalFormatting>
  <conditionalFormatting sqref="E18">
    <cfRule type="expression" dxfId="495" priority="477">
      <formula>OR($Z18=2,$Z18=12,$Z18=123)</formula>
    </cfRule>
  </conditionalFormatting>
  <conditionalFormatting sqref="D19:E19">
    <cfRule type="expression" dxfId="494" priority="476">
      <formula>$B19&lt;&gt;""</formula>
    </cfRule>
  </conditionalFormatting>
  <conditionalFormatting sqref="D19">
    <cfRule type="expression" dxfId="493" priority="475">
      <formula>OR($Z19=1,$Z19=12,$Z19=123)</formula>
    </cfRule>
  </conditionalFormatting>
  <conditionalFormatting sqref="E19">
    <cfRule type="expression" dxfId="492" priority="474">
      <formula>OR($Z19=2,$Z19=12,$Z19=123)</formula>
    </cfRule>
  </conditionalFormatting>
  <conditionalFormatting sqref="D22:E22">
    <cfRule type="expression" dxfId="491" priority="473">
      <formula>$B22&lt;&gt;""</formula>
    </cfRule>
  </conditionalFormatting>
  <conditionalFormatting sqref="D22">
    <cfRule type="expression" dxfId="490" priority="472">
      <formula>OR($Z22=1,$Z22=12,$Z22=123)</formula>
    </cfRule>
  </conditionalFormatting>
  <conditionalFormatting sqref="E22">
    <cfRule type="expression" dxfId="489" priority="471">
      <formula>OR($Z22=2,$Z22=12,$Z22=123)</formula>
    </cfRule>
  </conditionalFormatting>
  <conditionalFormatting sqref="D20:E20">
    <cfRule type="expression" dxfId="488" priority="470">
      <formula>$B20&lt;&gt;""</formula>
    </cfRule>
  </conditionalFormatting>
  <conditionalFormatting sqref="D20">
    <cfRule type="expression" dxfId="487" priority="469">
      <formula>OR($Z20=1,$Z20=12,$Z20=123)</formula>
    </cfRule>
  </conditionalFormatting>
  <conditionalFormatting sqref="E20">
    <cfRule type="expression" dxfId="486" priority="468">
      <formula>OR($Z20=2,$Z20=12,$Z20=123)</formula>
    </cfRule>
  </conditionalFormatting>
  <conditionalFormatting sqref="D21:E21">
    <cfRule type="expression" dxfId="485" priority="467">
      <formula>$B21&lt;&gt;""</formula>
    </cfRule>
  </conditionalFormatting>
  <conditionalFormatting sqref="D21">
    <cfRule type="expression" dxfId="484" priority="466">
      <formula>OR($Z21=1,$Z21=12,$Z21=123)</formula>
    </cfRule>
  </conditionalFormatting>
  <conditionalFormatting sqref="E21">
    <cfRule type="expression" dxfId="483" priority="465">
      <formula>OR($Z21=2,$Z21=12,$Z21=123)</formula>
    </cfRule>
  </conditionalFormatting>
  <conditionalFormatting sqref="E23">
    <cfRule type="expression" dxfId="482" priority="464">
      <formula>$B23&lt;&gt;""</formula>
    </cfRule>
  </conditionalFormatting>
  <conditionalFormatting sqref="E23">
    <cfRule type="expression" dxfId="481" priority="463">
      <formula>OR($Z23=2,$Z23=12,$Z23=123)</formula>
    </cfRule>
  </conditionalFormatting>
  <conditionalFormatting sqref="D24:E24">
    <cfRule type="expression" dxfId="480" priority="462">
      <formula>$B24&lt;&gt;""</formula>
    </cfRule>
  </conditionalFormatting>
  <conditionalFormatting sqref="D24">
    <cfRule type="expression" dxfId="479" priority="461">
      <formula>OR($Z24=1,$Z24=12,$Z24=123)</formula>
    </cfRule>
  </conditionalFormatting>
  <conditionalFormatting sqref="E24">
    <cfRule type="expression" dxfId="478" priority="460">
      <formula>OR($Z24=2,$Z24=12,$Z24=123)</formula>
    </cfRule>
  </conditionalFormatting>
  <conditionalFormatting sqref="D23">
    <cfRule type="expression" dxfId="477" priority="459">
      <formula>$B23&lt;&gt;""</formula>
    </cfRule>
  </conditionalFormatting>
  <conditionalFormatting sqref="D23">
    <cfRule type="expression" dxfId="476" priority="458">
      <formula>OR($Z23=1,$Z23=12,$Z23=123)</formula>
    </cfRule>
  </conditionalFormatting>
  <conditionalFormatting sqref="A18:H18">
    <cfRule type="expression" dxfId="475" priority="457">
      <formula>$B18&lt;&gt;""</formula>
    </cfRule>
  </conditionalFormatting>
  <conditionalFormatting sqref="D18">
    <cfRule type="expression" dxfId="474" priority="456">
      <formula>OR($Z18=1,$Z18=12,$Z18=123)</formula>
    </cfRule>
  </conditionalFormatting>
  <conditionalFormatting sqref="E18">
    <cfRule type="expression" dxfId="473" priority="455">
      <formula>OR($Z18=2,$Z18=12,$Z18=123)</formula>
    </cfRule>
  </conditionalFormatting>
  <conditionalFormatting sqref="D19:E19">
    <cfRule type="expression" dxfId="472" priority="454">
      <formula>$B19&lt;&gt;""</formula>
    </cfRule>
  </conditionalFormatting>
  <conditionalFormatting sqref="D19">
    <cfRule type="expression" dxfId="471" priority="453">
      <formula>OR($Z19=1,$Z19=12,$Z19=123)</formula>
    </cfRule>
  </conditionalFormatting>
  <conditionalFormatting sqref="E19">
    <cfRule type="expression" dxfId="470" priority="452">
      <formula>OR($Z19=2,$Z19=12,$Z19=123)</formula>
    </cfRule>
  </conditionalFormatting>
  <conditionalFormatting sqref="D22:E22">
    <cfRule type="expression" dxfId="469" priority="451">
      <formula>$B22&lt;&gt;""</formula>
    </cfRule>
  </conditionalFormatting>
  <conditionalFormatting sqref="D22">
    <cfRule type="expression" dxfId="468" priority="450">
      <formula>OR($Z22=1,$Z22=12,$Z22=123)</formula>
    </cfRule>
  </conditionalFormatting>
  <conditionalFormatting sqref="E22">
    <cfRule type="expression" dxfId="467" priority="449">
      <formula>OR($Z22=2,$Z22=12,$Z22=123)</formula>
    </cfRule>
  </conditionalFormatting>
  <conditionalFormatting sqref="D20:E20">
    <cfRule type="expression" dxfId="466" priority="448">
      <formula>$B20&lt;&gt;""</formula>
    </cfRule>
  </conditionalFormatting>
  <conditionalFormatting sqref="D20">
    <cfRule type="expression" dxfId="465" priority="447">
      <formula>OR($Z20=1,$Z20=12,$Z20=123)</formula>
    </cfRule>
  </conditionalFormatting>
  <conditionalFormatting sqref="E20">
    <cfRule type="expression" dxfId="464" priority="446">
      <formula>OR($Z20=2,$Z20=12,$Z20=123)</formula>
    </cfRule>
  </conditionalFormatting>
  <conditionalFormatting sqref="D21:E21">
    <cfRule type="expression" dxfId="463" priority="445">
      <formula>$B21&lt;&gt;""</formula>
    </cfRule>
  </conditionalFormatting>
  <conditionalFormatting sqref="D21">
    <cfRule type="expression" dxfId="462" priority="444">
      <formula>OR($Z21=1,$Z21=12,$Z21=123)</formula>
    </cfRule>
  </conditionalFormatting>
  <conditionalFormatting sqref="E21">
    <cfRule type="expression" dxfId="461" priority="443">
      <formula>OR($Z21=2,$Z21=12,$Z21=123)</formula>
    </cfRule>
  </conditionalFormatting>
  <conditionalFormatting sqref="E23">
    <cfRule type="expression" dxfId="460" priority="442">
      <formula>$B23&lt;&gt;""</formula>
    </cfRule>
  </conditionalFormatting>
  <conditionalFormatting sqref="E23">
    <cfRule type="expression" dxfId="459" priority="441">
      <formula>OR($Z23=2,$Z23=12,$Z23=123)</formula>
    </cfRule>
  </conditionalFormatting>
  <conditionalFormatting sqref="D24:E24">
    <cfRule type="expression" dxfId="458" priority="440">
      <formula>$B24&lt;&gt;""</formula>
    </cfRule>
  </conditionalFormatting>
  <conditionalFormatting sqref="D24">
    <cfRule type="expression" dxfId="457" priority="439">
      <formula>OR($Z24=1,$Z24=12,$Z24=123)</formula>
    </cfRule>
  </conditionalFormatting>
  <conditionalFormatting sqref="E24">
    <cfRule type="expression" dxfId="456" priority="438">
      <formula>OR($Z24=2,$Z24=12,$Z24=123)</formula>
    </cfRule>
  </conditionalFormatting>
  <conditionalFormatting sqref="D26:E26">
    <cfRule type="expression" dxfId="455" priority="437">
      <formula>$B26&lt;&gt;""</formula>
    </cfRule>
  </conditionalFormatting>
  <conditionalFormatting sqref="D26">
    <cfRule type="expression" dxfId="454" priority="436">
      <formula>OR($Z26=1,$Z26=12,$Z26=123)</formula>
    </cfRule>
  </conditionalFormatting>
  <conditionalFormatting sqref="E26">
    <cfRule type="expression" dxfId="453" priority="435">
      <formula>OR($Z26=2,$Z26=12,$Z26=123)</formula>
    </cfRule>
  </conditionalFormatting>
  <conditionalFormatting sqref="D23">
    <cfRule type="expression" dxfId="452" priority="434">
      <formula>$B23&lt;&gt;""</formula>
    </cfRule>
  </conditionalFormatting>
  <conditionalFormatting sqref="D23">
    <cfRule type="expression" dxfId="451" priority="433">
      <formula>OR($Z23=1,$Z23=12,$Z23=123)</formula>
    </cfRule>
  </conditionalFormatting>
  <conditionalFormatting sqref="A19:H19">
    <cfRule type="expression" dxfId="450" priority="432">
      <formula>$B19&lt;&gt;""</formula>
    </cfRule>
  </conditionalFormatting>
  <conditionalFormatting sqref="D19">
    <cfRule type="expression" dxfId="449" priority="431">
      <formula>OR($Z19=1,$Z19=12,$Z19=123)</formula>
    </cfRule>
  </conditionalFormatting>
  <conditionalFormatting sqref="E19">
    <cfRule type="expression" dxfId="448" priority="430">
      <formula>OR($Z19=2,$Z19=12,$Z19=123)</formula>
    </cfRule>
  </conditionalFormatting>
  <conditionalFormatting sqref="D20:E20">
    <cfRule type="expression" dxfId="447" priority="429">
      <formula>$B20&lt;&gt;""</formula>
    </cfRule>
  </conditionalFormatting>
  <conditionalFormatting sqref="D20">
    <cfRule type="expression" dxfId="446" priority="428">
      <formula>OR($Z20=1,$Z20=12,$Z20=123)</formula>
    </cfRule>
  </conditionalFormatting>
  <conditionalFormatting sqref="E20">
    <cfRule type="expression" dxfId="445" priority="427">
      <formula>OR($Z20=2,$Z20=12,$Z20=123)</formula>
    </cfRule>
  </conditionalFormatting>
  <conditionalFormatting sqref="D23:E23">
    <cfRule type="expression" dxfId="444" priority="426">
      <formula>$B23&lt;&gt;""</formula>
    </cfRule>
  </conditionalFormatting>
  <conditionalFormatting sqref="D23">
    <cfRule type="expression" dxfId="443" priority="425">
      <formula>OR($Z23=1,$Z23=12,$Z23=123)</formula>
    </cfRule>
  </conditionalFormatting>
  <conditionalFormatting sqref="E23">
    <cfRule type="expression" dxfId="442" priority="424">
      <formula>OR($Z23=2,$Z23=12,$Z23=123)</formula>
    </cfRule>
  </conditionalFormatting>
  <conditionalFormatting sqref="D21:E21">
    <cfRule type="expression" dxfId="441" priority="423">
      <formula>$B21&lt;&gt;""</formula>
    </cfRule>
  </conditionalFormatting>
  <conditionalFormatting sqref="D21">
    <cfRule type="expression" dxfId="440" priority="422">
      <formula>OR($Z21=1,$Z21=12,$Z21=123)</formula>
    </cfRule>
  </conditionalFormatting>
  <conditionalFormatting sqref="E21">
    <cfRule type="expression" dxfId="439" priority="421">
      <formula>OR($Z21=2,$Z21=12,$Z21=123)</formula>
    </cfRule>
  </conditionalFormatting>
  <conditionalFormatting sqref="D22:E22">
    <cfRule type="expression" dxfId="438" priority="420">
      <formula>$B22&lt;&gt;""</formula>
    </cfRule>
  </conditionalFormatting>
  <conditionalFormatting sqref="D22">
    <cfRule type="expression" dxfId="437" priority="419">
      <formula>OR($Z22=1,$Z22=12,$Z22=123)</formula>
    </cfRule>
  </conditionalFormatting>
  <conditionalFormatting sqref="E22">
    <cfRule type="expression" dxfId="436" priority="418">
      <formula>OR($Z22=2,$Z22=12,$Z22=123)</formula>
    </cfRule>
  </conditionalFormatting>
  <conditionalFormatting sqref="E24">
    <cfRule type="expression" dxfId="435" priority="417">
      <formula>$B24&lt;&gt;""</formula>
    </cfRule>
  </conditionalFormatting>
  <conditionalFormatting sqref="E24">
    <cfRule type="expression" dxfId="434" priority="416">
      <formula>OR($Z24=2,$Z24=12,$Z24=123)</formula>
    </cfRule>
  </conditionalFormatting>
  <conditionalFormatting sqref="D25:E25">
    <cfRule type="expression" dxfId="433" priority="415">
      <formula>$B25&lt;&gt;""</formula>
    </cfRule>
  </conditionalFormatting>
  <conditionalFormatting sqref="D25">
    <cfRule type="expression" dxfId="432" priority="414">
      <formula>OR($Z25=1,$Z25=12,$Z25=123)</formula>
    </cfRule>
  </conditionalFormatting>
  <conditionalFormatting sqref="E25">
    <cfRule type="expression" dxfId="431" priority="413">
      <formula>OR($Z25=2,$Z25=12,$Z25=123)</formula>
    </cfRule>
  </conditionalFormatting>
  <conditionalFormatting sqref="D24">
    <cfRule type="expression" dxfId="430" priority="412">
      <formula>$B24&lt;&gt;""</formula>
    </cfRule>
  </conditionalFormatting>
  <conditionalFormatting sqref="D24">
    <cfRule type="expression" dxfId="429" priority="411">
      <formula>OR($Z24=1,$Z24=12,$Z24=123)</formula>
    </cfRule>
  </conditionalFormatting>
  <conditionalFormatting sqref="D23:E23">
    <cfRule type="expression" dxfId="428" priority="410">
      <formula>$B23&lt;&gt;""</formula>
    </cfRule>
  </conditionalFormatting>
  <conditionalFormatting sqref="D23">
    <cfRule type="expression" dxfId="427" priority="409">
      <formula>OR($Z23=1,$Z23=12,$Z23=123)</formula>
    </cfRule>
  </conditionalFormatting>
  <conditionalFormatting sqref="E23">
    <cfRule type="expression" dxfId="426" priority="408">
      <formula>OR($Z23=2,$Z23=12,$Z23=123)</formula>
    </cfRule>
  </conditionalFormatting>
  <conditionalFormatting sqref="D24:E24">
    <cfRule type="expression" dxfId="425" priority="407">
      <formula>$B24&lt;&gt;""</formula>
    </cfRule>
  </conditionalFormatting>
  <conditionalFormatting sqref="D24">
    <cfRule type="expression" dxfId="424" priority="406">
      <formula>OR($Z24=1,$Z24=12,$Z24=123)</formula>
    </cfRule>
  </conditionalFormatting>
  <conditionalFormatting sqref="E24">
    <cfRule type="expression" dxfId="423" priority="405">
      <formula>OR($Z24=2,$Z24=12,$Z24=123)</formula>
    </cfRule>
  </conditionalFormatting>
  <conditionalFormatting sqref="D26:E26">
    <cfRule type="expression" dxfId="422" priority="404">
      <formula>$B26&lt;&gt;""</formula>
    </cfRule>
  </conditionalFormatting>
  <conditionalFormatting sqref="D26">
    <cfRule type="expression" dxfId="421" priority="403">
      <formula>OR($Z26=1,$Z26=12,$Z26=123)</formula>
    </cfRule>
  </conditionalFormatting>
  <conditionalFormatting sqref="E26">
    <cfRule type="expression" dxfId="420" priority="402">
      <formula>OR($Z26=2,$Z26=12,$Z26=123)</formula>
    </cfRule>
  </conditionalFormatting>
  <conditionalFormatting sqref="D24:E24">
    <cfRule type="expression" dxfId="419" priority="401">
      <formula>$B24&lt;&gt;""</formula>
    </cfRule>
  </conditionalFormatting>
  <conditionalFormatting sqref="D24">
    <cfRule type="expression" dxfId="418" priority="400">
      <formula>OR($Z24=1,$Z24=12,$Z24=123)</formula>
    </cfRule>
  </conditionalFormatting>
  <conditionalFormatting sqref="E24">
    <cfRule type="expression" dxfId="417" priority="399">
      <formula>OR($Z24=2,$Z24=12,$Z24=123)</formula>
    </cfRule>
  </conditionalFormatting>
  <conditionalFormatting sqref="D25:E25">
    <cfRule type="expression" dxfId="416" priority="398">
      <formula>$B25&lt;&gt;""</formula>
    </cfRule>
  </conditionalFormatting>
  <conditionalFormatting sqref="D25">
    <cfRule type="expression" dxfId="415" priority="397">
      <formula>OR($Z25=1,$Z25=12,$Z25=123)</formula>
    </cfRule>
  </conditionalFormatting>
  <conditionalFormatting sqref="E25">
    <cfRule type="expression" dxfId="414" priority="396">
      <formula>OR($Z25=2,$Z25=12,$Z25=123)</formula>
    </cfRule>
  </conditionalFormatting>
  <conditionalFormatting sqref="D23:E23">
    <cfRule type="expression" dxfId="413" priority="395">
      <formula>$B23&lt;&gt;""</formula>
    </cfRule>
  </conditionalFormatting>
  <conditionalFormatting sqref="D23">
    <cfRule type="expression" dxfId="412" priority="394">
      <formula>OR($Z23=1,$Z23=12,$Z23=123)</formula>
    </cfRule>
  </conditionalFormatting>
  <conditionalFormatting sqref="E23">
    <cfRule type="expression" dxfId="411" priority="393">
      <formula>OR($Z23=2,$Z23=12,$Z23=123)</formula>
    </cfRule>
  </conditionalFormatting>
  <conditionalFormatting sqref="D24:E24">
    <cfRule type="expression" dxfId="410" priority="392">
      <formula>$B24&lt;&gt;""</formula>
    </cfRule>
  </conditionalFormatting>
  <conditionalFormatting sqref="D24">
    <cfRule type="expression" dxfId="409" priority="391">
      <formula>OR($Z24=1,$Z24=12,$Z24=123)</formula>
    </cfRule>
  </conditionalFormatting>
  <conditionalFormatting sqref="E24">
    <cfRule type="expression" dxfId="408" priority="390">
      <formula>OR($Z24=2,$Z24=12,$Z24=123)</formula>
    </cfRule>
  </conditionalFormatting>
  <conditionalFormatting sqref="D25:E25">
    <cfRule type="expression" dxfId="407" priority="389">
      <formula>$B25&lt;&gt;""</formula>
    </cfRule>
  </conditionalFormatting>
  <conditionalFormatting sqref="D25">
    <cfRule type="expression" dxfId="406" priority="388">
      <formula>OR($Z25=1,$Z25=12,$Z25=123)</formula>
    </cfRule>
  </conditionalFormatting>
  <conditionalFormatting sqref="E25">
    <cfRule type="expression" dxfId="405" priority="387">
      <formula>OR($Z25=2,$Z25=12,$Z25=123)</formula>
    </cfRule>
  </conditionalFormatting>
  <conditionalFormatting sqref="D23:E23">
    <cfRule type="expression" dxfId="404" priority="386">
      <formula>$B23&lt;&gt;""</formula>
    </cfRule>
  </conditionalFormatting>
  <conditionalFormatting sqref="D23">
    <cfRule type="expression" dxfId="403" priority="385">
      <formula>OR($Z23=1,$Z23=12,$Z23=123)</formula>
    </cfRule>
  </conditionalFormatting>
  <conditionalFormatting sqref="E23">
    <cfRule type="expression" dxfId="402" priority="384">
      <formula>OR($Z23=2,$Z23=12,$Z23=123)</formula>
    </cfRule>
  </conditionalFormatting>
  <conditionalFormatting sqref="D23:E23">
    <cfRule type="expression" dxfId="401" priority="383">
      <formula>$B23&lt;&gt;""</formula>
    </cfRule>
  </conditionalFormatting>
  <conditionalFormatting sqref="D23">
    <cfRule type="expression" dxfId="400" priority="382">
      <formula>OR($Z23=1,$Z23=12,$Z23=123)</formula>
    </cfRule>
  </conditionalFormatting>
  <conditionalFormatting sqref="E23">
    <cfRule type="expression" dxfId="399" priority="381">
      <formula>OR($Z23=2,$Z23=12,$Z23=123)</formula>
    </cfRule>
  </conditionalFormatting>
  <conditionalFormatting sqref="D25:E25">
    <cfRule type="expression" dxfId="398" priority="380">
      <formula>$B25&lt;&gt;""</formula>
    </cfRule>
  </conditionalFormatting>
  <conditionalFormatting sqref="D25">
    <cfRule type="expression" dxfId="397" priority="379">
      <formula>OR($Z25=1,$Z25=12,$Z25=123)</formula>
    </cfRule>
  </conditionalFormatting>
  <conditionalFormatting sqref="E25">
    <cfRule type="expression" dxfId="396" priority="378">
      <formula>OR($Z25=2,$Z25=12,$Z25=123)</formula>
    </cfRule>
  </conditionalFormatting>
  <conditionalFormatting sqref="D26:E26">
    <cfRule type="expression" dxfId="395" priority="377">
      <formula>$B26&lt;&gt;""</formula>
    </cfRule>
  </conditionalFormatting>
  <conditionalFormatting sqref="D26">
    <cfRule type="expression" dxfId="394" priority="376">
      <formula>OR($Z26=1,$Z26=12,$Z26=123)</formula>
    </cfRule>
  </conditionalFormatting>
  <conditionalFormatting sqref="E26">
    <cfRule type="expression" dxfId="393" priority="375">
      <formula>OR($Z26=2,$Z26=12,$Z26=123)</formula>
    </cfRule>
  </conditionalFormatting>
  <conditionalFormatting sqref="E23">
    <cfRule type="expression" dxfId="392" priority="374">
      <formula>$B23&lt;&gt;""</formula>
    </cfRule>
  </conditionalFormatting>
  <conditionalFormatting sqref="E23">
    <cfRule type="expression" dxfId="391" priority="373">
      <formula>OR($Z23=2,$Z23=12,$Z23=123)</formula>
    </cfRule>
  </conditionalFormatting>
  <conditionalFormatting sqref="D24:E24">
    <cfRule type="expression" dxfId="390" priority="372">
      <formula>$B24&lt;&gt;""</formula>
    </cfRule>
  </conditionalFormatting>
  <conditionalFormatting sqref="D24">
    <cfRule type="expression" dxfId="389" priority="371">
      <formula>OR($Z24=1,$Z24=12,$Z24=123)</formula>
    </cfRule>
  </conditionalFormatting>
  <conditionalFormatting sqref="E24">
    <cfRule type="expression" dxfId="388" priority="370">
      <formula>OR($Z24=2,$Z24=12,$Z24=123)</formula>
    </cfRule>
  </conditionalFormatting>
  <conditionalFormatting sqref="D23">
    <cfRule type="expression" dxfId="387" priority="369">
      <formula>$B23&lt;&gt;""</formula>
    </cfRule>
  </conditionalFormatting>
  <conditionalFormatting sqref="D23">
    <cfRule type="expression" dxfId="386" priority="368">
      <formula>OR($Z23=1,$Z23=12,$Z23=123)</formula>
    </cfRule>
  </conditionalFormatting>
  <conditionalFormatting sqref="D18:E18">
    <cfRule type="expression" dxfId="385" priority="367">
      <formula>$B18&lt;&gt;""</formula>
    </cfRule>
  </conditionalFormatting>
  <conditionalFormatting sqref="D18">
    <cfRule type="expression" dxfId="384" priority="366">
      <formula>OR($Z18=1,$Z18=12,$Z18=123)</formula>
    </cfRule>
  </conditionalFormatting>
  <conditionalFormatting sqref="E18">
    <cfRule type="expression" dxfId="383" priority="365">
      <formula>OR($Z18=2,$Z18=12,$Z18=123)</formula>
    </cfRule>
  </conditionalFormatting>
  <conditionalFormatting sqref="D21:E21">
    <cfRule type="expression" dxfId="382" priority="364">
      <formula>$B21&lt;&gt;""</formula>
    </cfRule>
  </conditionalFormatting>
  <conditionalFormatting sqref="D21">
    <cfRule type="expression" dxfId="381" priority="363">
      <formula>OR($Z21=1,$Z21=12,$Z21=123)</formula>
    </cfRule>
  </conditionalFormatting>
  <conditionalFormatting sqref="E21">
    <cfRule type="expression" dxfId="380" priority="362">
      <formula>OR($Z21=2,$Z21=12,$Z21=123)</formula>
    </cfRule>
  </conditionalFormatting>
  <conditionalFormatting sqref="D19:E19">
    <cfRule type="expression" dxfId="379" priority="361">
      <formula>$B19&lt;&gt;""</formula>
    </cfRule>
  </conditionalFormatting>
  <conditionalFormatting sqref="D19">
    <cfRule type="expression" dxfId="378" priority="360">
      <formula>OR($Z19=1,$Z19=12,$Z19=123)</formula>
    </cfRule>
  </conditionalFormatting>
  <conditionalFormatting sqref="E19">
    <cfRule type="expression" dxfId="377" priority="359">
      <formula>OR($Z19=2,$Z19=12,$Z19=123)</formula>
    </cfRule>
  </conditionalFormatting>
  <conditionalFormatting sqref="D20:E20">
    <cfRule type="expression" dxfId="376" priority="358">
      <formula>$B20&lt;&gt;""</formula>
    </cfRule>
  </conditionalFormatting>
  <conditionalFormatting sqref="D20">
    <cfRule type="expression" dxfId="375" priority="357">
      <formula>OR($Z20=1,$Z20=12,$Z20=123)</formula>
    </cfRule>
  </conditionalFormatting>
  <conditionalFormatting sqref="E20">
    <cfRule type="expression" dxfId="374" priority="356">
      <formula>OR($Z20=2,$Z20=12,$Z20=123)</formula>
    </cfRule>
  </conditionalFormatting>
  <conditionalFormatting sqref="E22">
    <cfRule type="expression" dxfId="373" priority="355">
      <formula>$B22&lt;&gt;""</formula>
    </cfRule>
  </conditionalFormatting>
  <conditionalFormatting sqref="E22">
    <cfRule type="expression" dxfId="372" priority="354">
      <formula>OR($Z22=2,$Z22=12,$Z22=123)</formula>
    </cfRule>
  </conditionalFormatting>
  <conditionalFormatting sqref="D23:E23">
    <cfRule type="expression" dxfId="371" priority="353">
      <formula>$B23&lt;&gt;""</formula>
    </cfRule>
  </conditionalFormatting>
  <conditionalFormatting sqref="D23">
    <cfRule type="expression" dxfId="370" priority="352">
      <formula>OR($Z23=1,$Z23=12,$Z23=123)</formula>
    </cfRule>
  </conditionalFormatting>
  <conditionalFormatting sqref="E23">
    <cfRule type="expression" dxfId="369" priority="351">
      <formula>OR($Z23=2,$Z23=12,$Z23=123)</formula>
    </cfRule>
  </conditionalFormatting>
  <conditionalFormatting sqref="D25:E25">
    <cfRule type="expression" dxfId="368" priority="350">
      <formula>$B25&lt;&gt;""</formula>
    </cfRule>
  </conditionalFormatting>
  <conditionalFormatting sqref="D25">
    <cfRule type="expression" dxfId="367" priority="349">
      <formula>OR($Z25=1,$Z25=12,$Z25=123)</formula>
    </cfRule>
  </conditionalFormatting>
  <conditionalFormatting sqref="E25">
    <cfRule type="expression" dxfId="366" priority="348">
      <formula>OR($Z25=2,$Z25=12,$Z25=123)</formula>
    </cfRule>
  </conditionalFormatting>
  <conditionalFormatting sqref="D26:E26">
    <cfRule type="expression" dxfId="365" priority="347">
      <formula>$B26&lt;&gt;""</formula>
    </cfRule>
  </conditionalFormatting>
  <conditionalFormatting sqref="D26">
    <cfRule type="expression" dxfId="364" priority="346">
      <formula>OR($Z26=1,$Z26=12,$Z26=123)</formula>
    </cfRule>
  </conditionalFormatting>
  <conditionalFormatting sqref="E26">
    <cfRule type="expression" dxfId="363" priority="345">
      <formula>OR($Z26=2,$Z26=12,$Z26=123)</formula>
    </cfRule>
  </conditionalFormatting>
  <conditionalFormatting sqref="D22">
    <cfRule type="expression" dxfId="362" priority="344">
      <formula>$B22&lt;&gt;""</formula>
    </cfRule>
  </conditionalFormatting>
  <conditionalFormatting sqref="D22">
    <cfRule type="expression" dxfId="361" priority="343">
      <formula>OR($Z22=1,$Z22=12,$Z22=123)</formula>
    </cfRule>
  </conditionalFormatting>
  <conditionalFormatting sqref="A18:H18">
    <cfRule type="expression" dxfId="360" priority="342">
      <formula>$B18&lt;&gt;""</formula>
    </cfRule>
  </conditionalFormatting>
  <conditionalFormatting sqref="D18">
    <cfRule type="expression" dxfId="359" priority="341">
      <formula>OR($Z18=1,$Z18=12,$Z18=123)</formula>
    </cfRule>
  </conditionalFormatting>
  <conditionalFormatting sqref="E18">
    <cfRule type="expression" dxfId="358" priority="340">
      <formula>OR($Z18=2,$Z18=12,$Z18=123)</formula>
    </cfRule>
  </conditionalFormatting>
  <conditionalFormatting sqref="D19:E19">
    <cfRule type="expression" dxfId="357" priority="339">
      <formula>$B19&lt;&gt;""</formula>
    </cfRule>
  </conditionalFormatting>
  <conditionalFormatting sqref="D19">
    <cfRule type="expression" dxfId="356" priority="338">
      <formula>OR($Z19=1,$Z19=12,$Z19=123)</formula>
    </cfRule>
  </conditionalFormatting>
  <conditionalFormatting sqref="E19">
    <cfRule type="expression" dxfId="355" priority="337">
      <formula>OR($Z19=2,$Z19=12,$Z19=123)</formula>
    </cfRule>
  </conditionalFormatting>
  <conditionalFormatting sqref="D22:E22">
    <cfRule type="expression" dxfId="354" priority="336">
      <formula>$B22&lt;&gt;""</formula>
    </cfRule>
  </conditionalFormatting>
  <conditionalFormatting sqref="D22">
    <cfRule type="expression" dxfId="353" priority="335">
      <formula>OR($Z22=1,$Z22=12,$Z22=123)</formula>
    </cfRule>
  </conditionalFormatting>
  <conditionalFormatting sqref="E22">
    <cfRule type="expression" dxfId="352" priority="334">
      <formula>OR($Z22=2,$Z22=12,$Z22=123)</formula>
    </cfRule>
  </conditionalFormatting>
  <conditionalFormatting sqref="D20:E20">
    <cfRule type="expression" dxfId="351" priority="333">
      <formula>$B20&lt;&gt;""</formula>
    </cfRule>
  </conditionalFormatting>
  <conditionalFormatting sqref="D20">
    <cfRule type="expression" dxfId="350" priority="332">
      <formula>OR($Z20=1,$Z20=12,$Z20=123)</formula>
    </cfRule>
  </conditionalFormatting>
  <conditionalFormatting sqref="E20">
    <cfRule type="expression" dxfId="349" priority="331">
      <formula>OR($Z20=2,$Z20=12,$Z20=123)</formula>
    </cfRule>
  </conditionalFormatting>
  <conditionalFormatting sqref="D21:E21">
    <cfRule type="expression" dxfId="348" priority="330">
      <formula>$B21&lt;&gt;""</formula>
    </cfRule>
  </conditionalFormatting>
  <conditionalFormatting sqref="D21">
    <cfRule type="expression" dxfId="347" priority="329">
      <formula>OR($Z21=1,$Z21=12,$Z21=123)</formula>
    </cfRule>
  </conditionalFormatting>
  <conditionalFormatting sqref="E21">
    <cfRule type="expression" dxfId="346" priority="328">
      <formula>OR($Z21=2,$Z21=12,$Z21=123)</formula>
    </cfRule>
  </conditionalFormatting>
  <conditionalFormatting sqref="E23">
    <cfRule type="expression" dxfId="345" priority="327">
      <formula>$B23&lt;&gt;""</formula>
    </cfRule>
  </conditionalFormatting>
  <conditionalFormatting sqref="E23">
    <cfRule type="expression" dxfId="344" priority="326">
      <formula>OR($Z23=2,$Z23=12,$Z23=123)</formula>
    </cfRule>
  </conditionalFormatting>
  <conditionalFormatting sqref="D24:E24">
    <cfRule type="expression" dxfId="343" priority="325">
      <formula>$B24&lt;&gt;""</formula>
    </cfRule>
  </conditionalFormatting>
  <conditionalFormatting sqref="D24">
    <cfRule type="expression" dxfId="342" priority="324">
      <formula>OR($Z24=1,$Z24=12,$Z24=123)</formula>
    </cfRule>
  </conditionalFormatting>
  <conditionalFormatting sqref="E24">
    <cfRule type="expression" dxfId="341" priority="323">
      <formula>OR($Z24=2,$Z24=12,$Z24=123)</formula>
    </cfRule>
  </conditionalFormatting>
  <conditionalFormatting sqref="D23">
    <cfRule type="expression" dxfId="340" priority="322">
      <formula>$B23&lt;&gt;""</formula>
    </cfRule>
  </conditionalFormatting>
  <conditionalFormatting sqref="D23">
    <cfRule type="expression" dxfId="339" priority="321">
      <formula>OR($Z23=1,$Z23=12,$Z23=123)</formula>
    </cfRule>
  </conditionalFormatting>
  <conditionalFormatting sqref="A18:H18">
    <cfRule type="expression" dxfId="338" priority="320">
      <formula>$B18&lt;&gt;""</formula>
    </cfRule>
  </conditionalFormatting>
  <conditionalFormatting sqref="D18">
    <cfRule type="expression" dxfId="337" priority="319">
      <formula>OR($Z18=1,$Z18=12,$Z18=123)</formula>
    </cfRule>
  </conditionalFormatting>
  <conditionalFormatting sqref="E18">
    <cfRule type="expression" dxfId="336" priority="318">
      <formula>OR($Z18=2,$Z18=12,$Z18=123)</formula>
    </cfRule>
  </conditionalFormatting>
  <conditionalFormatting sqref="D19:E19">
    <cfRule type="expression" dxfId="335" priority="317">
      <formula>$B19&lt;&gt;""</formula>
    </cfRule>
  </conditionalFormatting>
  <conditionalFormatting sqref="D19">
    <cfRule type="expression" dxfId="334" priority="316">
      <formula>OR($Z19=1,$Z19=12,$Z19=123)</formula>
    </cfRule>
  </conditionalFormatting>
  <conditionalFormatting sqref="E19">
    <cfRule type="expression" dxfId="333" priority="315">
      <formula>OR($Z19=2,$Z19=12,$Z19=123)</formula>
    </cfRule>
  </conditionalFormatting>
  <conditionalFormatting sqref="D22:E22">
    <cfRule type="expression" dxfId="332" priority="314">
      <formula>$B22&lt;&gt;""</formula>
    </cfRule>
  </conditionalFormatting>
  <conditionalFormatting sqref="D22">
    <cfRule type="expression" dxfId="331" priority="313">
      <formula>OR($Z22=1,$Z22=12,$Z22=123)</formula>
    </cfRule>
  </conditionalFormatting>
  <conditionalFormatting sqref="E22">
    <cfRule type="expression" dxfId="330" priority="312">
      <formula>OR($Z22=2,$Z22=12,$Z22=123)</formula>
    </cfRule>
  </conditionalFormatting>
  <conditionalFormatting sqref="D20:E20">
    <cfRule type="expression" dxfId="329" priority="311">
      <formula>$B20&lt;&gt;""</formula>
    </cfRule>
  </conditionalFormatting>
  <conditionalFormatting sqref="D20">
    <cfRule type="expression" dxfId="328" priority="310">
      <formula>OR($Z20=1,$Z20=12,$Z20=123)</formula>
    </cfRule>
  </conditionalFormatting>
  <conditionalFormatting sqref="E20">
    <cfRule type="expression" dxfId="327" priority="309">
      <formula>OR($Z20=2,$Z20=12,$Z20=123)</formula>
    </cfRule>
  </conditionalFormatting>
  <conditionalFormatting sqref="D21:E21">
    <cfRule type="expression" dxfId="326" priority="308">
      <formula>$B21&lt;&gt;""</formula>
    </cfRule>
  </conditionalFormatting>
  <conditionalFormatting sqref="D21">
    <cfRule type="expression" dxfId="325" priority="307">
      <formula>OR($Z21=1,$Z21=12,$Z21=123)</formula>
    </cfRule>
  </conditionalFormatting>
  <conditionalFormatting sqref="E21">
    <cfRule type="expression" dxfId="324" priority="306">
      <formula>OR($Z21=2,$Z21=12,$Z21=123)</formula>
    </cfRule>
  </conditionalFormatting>
  <conditionalFormatting sqref="E23">
    <cfRule type="expression" dxfId="323" priority="305">
      <formula>$B23&lt;&gt;""</formula>
    </cfRule>
  </conditionalFormatting>
  <conditionalFormatting sqref="E23">
    <cfRule type="expression" dxfId="322" priority="304">
      <formula>OR($Z23=2,$Z23=12,$Z23=123)</formula>
    </cfRule>
  </conditionalFormatting>
  <conditionalFormatting sqref="D24:E24">
    <cfRule type="expression" dxfId="321" priority="303">
      <formula>$B24&lt;&gt;""</formula>
    </cfRule>
  </conditionalFormatting>
  <conditionalFormatting sqref="D24">
    <cfRule type="expression" dxfId="320" priority="302">
      <formula>OR($Z24=1,$Z24=12,$Z24=123)</formula>
    </cfRule>
  </conditionalFormatting>
  <conditionalFormatting sqref="E24">
    <cfRule type="expression" dxfId="319" priority="301">
      <formula>OR($Z24=2,$Z24=12,$Z24=123)</formula>
    </cfRule>
  </conditionalFormatting>
  <conditionalFormatting sqref="D26:E26">
    <cfRule type="expression" dxfId="318" priority="300">
      <formula>$B26&lt;&gt;""</formula>
    </cfRule>
  </conditionalFormatting>
  <conditionalFormatting sqref="D26">
    <cfRule type="expression" dxfId="317" priority="299">
      <formula>OR($Z26=1,$Z26=12,$Z26=123)</formula>
    </cfRule>
  </conditionalFormatting>
  <conditionalFormatting sqref="E26">
    <cfRule type="expression" dxfId="316" priority="298">
      <formula>OR($Z26=2,$Z26=12,$Z26=123)</formula>
    </cfRule>
  </conditionalFormatting>
  <conditionalFormatting sqref="D23">
    <cfRule type="expression" dxfId="315" priority="297">
      <formula>$B23&lt;&gt;""</formula>
    </cfRule>
  </conditionalFormatting>
  <conditionalFormatting sqref="D23">
    <cfRule type="expression" dxfId="314" priority="296">
      <formula>OR($Z23=1,$Z23=12,$Z23=123)</formula>
    </cfRule>
  </conditionalFormatting>
  <conditionalFormatting sqref="A19:H19">
    <cfRule type="expression" dxfId="313" priority="295">
      <formula>$B19&lt;&gt;""</formula>
    </cfRule>
  </conditionalFormatting>
  <conditionalFormatting sqref="D19">
    <cfRule type="expression" dxfId="312" priority="294">
      <formula>OR($Z19=1,$Z19=12,$Z19=123)</formula>
    </cfRule>
  </conditionalFormatting>
  <conditionalFormatting sqref="E19">
    <cfRule type="expression" dxfId="311" priority="293">
      <formula>OR($Z19=2,$Z19=12,$Z19=123)</formula>
    </cfRule>
  </conditionalFormatting>
  <conditionalFormatting sqref="D20:E20">
    <cfRule type="expression" dxfId="310" priority="292">
      <formula>$B20&lt;&gt;""</formula>
    </cfRule>
  </conditionalFormatting>
  <conditionalFormatting sqref="D20">
    <cfRule type="expression" dxfId="309" priority="291">
      <formula>OR($Z20=1,$Z20=12,$Z20=123)</formula>
    </cfRule>
  </conditionalFormatting>
  <conditionalFormatting sqref="E20">
    <cfRule type="expression" dxfId="308" priority="290">
      <formula>OR($Z20=2,$Z20=12,$Z20=123)</formula>
    </cfRule>
  </conditionalFormatting>
  <conditionalFormatting sqref="D23:E23">
    <cfRule type="expression" dxfId="307" priority="289">
      <formula>$B23&lt;&gt;""</formula>
    </cfRule>
  </conditionalFormatting>
  <conditionalFormatting sqref="D23">
    <cfRule type="expression" dxfId="306" priority="288">
      <formula>OR($Z23=1,$Z23=12,$Z23=123)</formula>
    </cfRule>
  </conditionalFormatting>
  <conditionalFormatting sqref="E23">
    <cfRule type="expression" dxfId="305" priority="287">
      <formula>OR($Z23=2,$Z23=12,$Z23=123)</formula>
    </cfRule>
  </conditionalFormatting>
  <conditionalFormatting sqref="D21:E21">
    <cfRule type="expression" dxfId="304" priority="286">
      <formula>$B21&lt;&gt;""</formula>
    </cfRule>
  </conditionalFormatting>
  <conditionalFormatting sqref="D21">
    <cfRule type="expression" dxfId="303" priority="285">
      <formula>OR($Z21=1,$Z21=12,$Z21=123)</formula>
    </cfRule>
  </conditionalFormatting>
  <conditionalFormatting sqref="E21">
    <cfRule type="expression" dxfId="302" priority="284">
      <formula>OR($Z21=2,$Z21=12,$Z21=123)</formula>
    </cfRule>
  </conditionalFormatting>
  <conditionalFormatting sqref="D22:E22">
    <cfRule type="expression" dxfId="301" priority="283">
      <formula>$B22&lt;&gt;""</formula>
    </cfRule>
  </conditionalFormatting>
  <conditionalFormatting sqref="D22">
    <cfRule type="expression" dxfId="300" priority="282">
      <formula>OR($Z22=1,$Z22=12,$Z22=123)</formula>
    </cfRule>
  </conditionalFormatting>
  <conditionalFormatting sqref="E22">
    <cfRule type="expression" dxfId="299" priority="281">
      <formula>OR($Z22=2,$Z22=12,$Z22=123)</formula>
    </cfRule>
  </conditionalFormatting>
  <conditionalFormatting sqref="E24">
    <cfRule type="expression" dxfId="298" priority="280">
      <formula>$B24&lt;&gt;""</formula>
    </cfRule>
  </conditionalFormatting>
  <conditionalFormatting sqref="E24">
    <cfRule type="expression" dxfId="297" priority="279">
      <formula>OR($Z24=2,$Z24=12,$Z24=123)</formula>
    </cfRule>
  </conditionalFormatting>
  <conditionalFormatting sqref="D25:E25">
    <cfRule type="expression" dxfId="296" priority="278">
      <formula>$B25&lt;&gt;""</formula>
    </cfRule>
  </conditionalFormatting>
  <conditionalFormatting sqref="D25">
    <cfRule type="expression" dxfId="295" priority="277">
      <formula>OR($Z25=1,$Z25=12,$Z25=123)</formula>
    </cfRule>
  </conditionalFormatting>
  <conditionalFormatting sqref="E25">
    <cfRule type="expression" dxfId="294" priority="276">
      <formula>OR($Z25=2,$Z25=12,$Z25=123)</formula>
    </cfRule>
  </conditionalFormatting>
  <conditionalFormatting sqref="D24">
    <cfRule type="expression" dxfId="293" priority="275">
      <formula>$B24&lt;&gt;""</formula>
    </cfRule>
  </conditionalFormatting>
  <conditionalFormatting sqref="D24">
    <cfRule type="expression" dxfId="292" priority="274">
      <formula>OR($Z24=1,$Z24=12,$Z24=123)</formula>
    </cfRule>
  </conditionalFormatting>
  <conditionalFormatting sqref="A18:H18">
    <cfRule type="expression" dxfId="291" priority="273">
      <formula>$B18&lt;&gt;""</formula>
    </cfRule>
  </conditionalFormatting>
  <conditionalFormatting sqref="D18">
    <cfRule type="expression" dxfId="290" priority="272">
      <formula>OR($Z18=1,$Z18=12,$Z18=123)</formula>
    </cfRule>
  </conditionalFormatting>
  <conditionalFormatting sqref="E18">
    <cfRule type="expression" dxfId="289" priority="271">
      <formula>OR($Z18=2,$Z18=12,$Z18=123)</formula>
    </cfRule>
  </conditionalFormatting>
  <conditionalFormatting sqref="D19:E19">
    <cfRule type="expression" dxfId="288" priority="270">
      <formula>$B19&lt;&gt;""</formula>
    </cfRule>
  </conditionalFormatting>
  <conditionalFormatting sqref="D19">
    <cfRule type="expression" dxfId="287" priority="269">
      <formula>OR($Z19=1,$Z19=12,$Z19=123)</formula>
    </cfRule>
  </conditionalFormatting>
  <conditionalFormatting sqref="E19">
    <cfRule type="expression" dxfId="286" priority="268">
      <formula>OR($Z19=2,$Z19=12,$Z19=123)</formula>
    </cfRule>
  </conditionalFormatting>
  <conditionalFormatting sqref="D22:E22">
    <cfRule type="expression" dxfId="285" priority="267">
      <formula>$B22&lt;&gt;""</formula>
    </cfRule>
  </conditionalFormatting>
  <conditionalFormatting sqref="D22">
    <cfRule type="expression" dxfId="284" priority="266">
      <formula>OR($Z22=1,$Z22=12,$Z22=123)</formula>
    </cfRule>
  </conditionalFormatting>
  <conditionalFormatting sqref="E22">
    <cfRule type="expression" dxfId="283" priority="265">
      <formula>OR($Z22=2,$Z22=12,$Z22=123)</formula>
    </cfRule>
  </conditionalFormatting>
  <conditionalFormatting sqref="D20:E20">
    <cfRule type="expression" dxfId="282" priority="264">
      <formula>$B20&lt;&gt;""</formula>
    </cfRule>
  </conditionalFormatting>
  <conditionalFormatting sqref="D20">
    <cfRule type="expression" dxfId="281" priority="263">
      <formula>OR($Z20=1,$Z20=12,$Z20=123)</formula>
    </cfRule>
  </conditionalFormatting>
  <conditionalFormatting sqref="E20">
    <cfRule type="expression" dxfId="280" priority="262">
      <formula>OR($Z20=2,$Z20=12,$Z20=123)</formula>
    </cfRule>
  </conditionalFormatting>
  <conditionalFormatting sqref="D21:E21">
    <cfRule type="expression" dxfId="279" priority="261">
      <formula>$B21&lt;&gt;""</formula>
    </cfRule>
  </conditionalFormatting>
  <conditionalFormatting sqref="D21">
    <cfRule type="expression" dxfId="278" priority="260">
      <formula>OR($Z21=1,$Z21=12,$Z21=123)</formula>
    </cfRule>
  </conditionalFormatting>
  <conditionalFormatting sqref="E21">
    <cfRule type="expression" dxfId="277" priority="259">
      <formula>OR($Z21=2,$Z21=12,$Z21=123)</formula>
    </cfRule>
  </conditionalFormatting>
  <conditionalFormatting sqref="E23">
    <cfRule type="expression" dxfId="276" priority="258">
      <formula>$B23&lt;&gt;""</formula>
    </cfRule>
  </conditionalFormatting>
  <conditionalFormatting sqref="E23">
    <cfRule type="expression" dxfId="275" priority="257">
      <formula>OR($Z23=2,$Z23=12,$Z23=123)</formula>
    </cfRule>
  </conditionalFormatting>
  <conditionalFormatting sqref="D24:E24">
    <cfRule type="expression" dxfId="274" priority="256">
      <formula>$B24&lt;&gt;""</formula>
    </cfRule>
  </conditionalFormatting>
  <conditionalFormatting sqref="D24">
    <cfRule type="expression" dxfId="273" priority="255">
      <formula>OR($Z24=1,$Z24=12,$Z24=123)</formula>
    </cfRule>
  </conditionalFormatting>
  <conditionalFormatting sqref="E24">
    <cfRule type="expression" dxfId="272" priority="254">
      <formula>OR($Z24=2,$Z24=12,$Z24=123)</formula>
    </cfRule>
  </conditionalFormatting>
  <conditionalFormatting sqref="D26:E26">
    <cfRule type="expression" dxfId="271" priority="253">
      <formula>$B26&lt;&gt;""</formula>
    </cfRule>
  </conditionalFormatting>
  <conditionalFormatting sqref="D26">
    <cfRule type="expression" dxfId="270" priority="252">
      <formula>OR($Z26=1,$Z26=12,$Z26=123)</formula>
    </cfRule>
  </conditionalFormatting>
  <conditionalFormatting sqref="E26">
    <cfRule type="expression" dxfId="269" priority="251">
      <formula>OR($Z26=2,$Z26=12,$Z26=123)</formula>
    </cfRule>
  </conditionalFormatting>
  <conditionalFormatting sqref="D23">
    <cfRule type="expression" dxfId="268" priority="250">
      <formula>$B23&lt;&gt;""</formula>
    </cfRule>
  </conditionalFormatting>
  <conditionalFormatting sqref="D23">
    <cfRule type="expression" dxfId="267" priority="249">
      <formula>OR($Z23=1,$Z23=12,$Z23=123)</formula>
    </cfRule>
  </conditionalFormatting>
  <conditionalFormatting sqref="A19:H19">
    <cfRule type="expression" dxfId="266" priority="248">
      <formula>$B19&lt;&gt;""</formula>
    </cfRule>
  </conditionalFormatting>
  <conditionalFormatting sqref="D19">
    <cfRule type="expression" dxfId="265" priority="247">
      <formula>OR($Z19=1,$Z19=12,$Z19=123)</formula>
    </cfRule>
  </conditionalFormatting>
  <conditionalFormatting sqref="E19">
    <cfRule type="expression" dxfId="264" priority="246">
      <formula>OR($Z19=2,$Z19=12,$Z19=123)</formula>
    </cfRule>
  </conditionalFormatting>
  <conditionalFormatting sqref="D20:E20">
    <cfRule type="expression" dxfId="263" priority="245">
      <formula>$B20&lt;&gt;""</formula>
    </cfRule>
  </conditionalFormatting>
  <conditionalFormatting sqref="D20">
    <cfRule type="expression" dxfId="262" priority="244">
      <formula>OR($Z20=1,$Z20=12,$Z20=123)</formula>
    </cfRule>
  </conditionalFormatting>
  <conditionalFormatting sqref="E20">
    <cfRule type="expression" dxfId="261" priority="243">
      <formula>OR($Z20=2,$Z20=12,$Z20=123)</formula>
    </cfRule>
  </conditionalFormatting>
  <conditionalFormatting sqref="D23:E23">
    <cfRule type="expression" dxfId="260" priority="242">
      <formula>$B23&lt;&gt;""</formula>
    </cfRule>
  </conditionalFormatting>
  <conditionalFormatting sqref="D23">
    <cfRule type="expression" dxfId="259" priority="241">
      <formula>OR($Z23=1,$Z23=12,$Z23=123)</formula>
    </cfRule>
  </conditionalFormatting>
  <conditionalFormatting sqref="E23">
    <cfRule type="expression" dxfId="258" priority="240">
      <formula>OR($Z23=2,$Z23=12,$Z23=123)</formula>
    </cfRule>
  </conditionalFormatting>
  <conditionalFormatting sqref="D21:E21">
    <cfRule type="expression" dxfId="257" priority="239">
      <formula>$B21&lt;&gt;""</formula>
    </cfRule>
  </conditionalFormatting>
  <conditionalFormatting sqref="D21">
    <cfRule type="expression" dxfId="256" priority="238">
      <formula>OR($Z21=1,$Z21=12,$Z21=123)</formula>
    </cfRule>
  </conditionalFormatting>
  <conditionalFormatting sqref="E21">
    <cfRule type="expression" dxfId="255" priority="237">
      <formula>OR($Z21=2,$Z21=12,$Z21=123)</formula>
    </cfRule>
  </conditionalFormatting>
  <conditionalFormatting sqref="D22:E22">
    <cfRule type="expression" dxfId="254" priority="236">
      <formula>$B22&lt;&gt;""</formula>
    </cfRule>
  </conditionalFormatting>
  <conditionalFormatting sqref="D22">
    <cfRule type="expression" dxfId="253" priority="235">
      <formula>OR($Z22=1,$Z22=12,$Z22=123)</formula>
    </cfRule>
  </conditionalFormatting>
  <conditionalFormatting sqref="E22">
    <cfRule type="expression" dxfId="252" priority="234">
      <formula>OR($Z22=2,$Z22=12,$Z22=123)</formula>
    </cfRule>
  </conditionalFormatting>
  <conditionalFormatting sqref="E24">
    <cfRule type="expression" dxfId="251" priority="233">
      <formula>$B24&lt;&gt;""</formula>
    </cfRule>
  </conditionalFormatting>
  <conditionalFormatting sqref="E24">
    <cfRule type="expression" dxfId="250" priority="232">
      <formula>OR($Z24=2,$Z24=12,$Z24=123)</formula>
    </cfRule>
  </conditionalFormatting>
  <conditionalFormatting sqref="D25:E25">
    <cfRule type="expression" dxfId="249" priority="231">
      <formula>$B25&lt;&gt;""</formula>
    </cfRule>
  </conditionalFormatting>
  <conditionalFormatting sqref="D25">
    <cfRule type="expression" dxfId="248" priority="230">
      <formula>OR($Z25=1,$Z25=12,$Z25=123)</formula>
    </cfRule>
  </conditionalFormatting>
  <conditionalFormatting sqref="E25">
    <cfRule type="expression" dxfId="247" priority="229">
      <formula>OR($Z25=2,$Z25=12,$Z25=123)</formula>
    </cfRule>
  </conditionalFormatting>
  <conditionalFormatting sqref="D24">
    <cfRule type="expression" dxfId="246" priority="228">
      <formula>$B24&lt;&gt;""</formula>
    </cfRule>
  </conditionalFormatting>
  <conditionalFormatting sqref="D24">
    <cfRule type="expression" dxfId="245" priority="227">
      <formula>OR($Z24=1,$Z24=12,$Z24=123)</formula>
    </cfRule>
  </conditionalFormatting>
  <conditionalFormatting sqref="A19:H19">
    <cfRule type="expression" dxfId="244" priority="226">
      <formula>$B19&lt;&gt;""</formula>
    </cfRule>
  </conditionalFormatting>
  <conditionalFormatting sqref="D19">
    <cfRule type="expression" dxfId="243" priority="225">
      <formula>OR($Z19=1,$Z19=12,$Z19=123)</formula>
    </cfRule>
  </conditionalFormatting>
  <conditionalFormatting sqref="E19">
    <cfRule type="expression" dxfId="242" priority="224">
      <formula>OR($Z19=2,$Z19=12,$Z19=123)</formula>
    </cfRule>
  </conditionalFormatting>
  <conditionalFormatting sqref="D20:E20">
    <cfRule type="expression" dxfId="241" priority="223">
      <formula>$B20&lt;&gt;""</formula>
    </cfRule>
  </conditionalFormatting>
  <conditionalFormatting sqref="D20">
    <cfRule type="expression" dxfId="240" priority="222">
      <formula>OR($Z20=1,$Z20=12,$Z20=123)</formula>
    </cfRule>
  </conditionalFormatting>
  <conditionalFormatting sqref="E20">
    <cfRule type="expression" dxfId="239" priority="221">
      <formula>OR($Z20=2,$Z20=12,$Z20=123)</formula>
    </cfRule>
  </conditionalFormatting>
  <conditionalFormatting sqref="D23:E23">
    <cfRule type="expression" dxfId="238" priority="220">
      <formula>$B23&lt;&gt;""</formula>
    </cfRule>
  </conditionalFormatting>
  <conditionalFormatting sqref="D23">
    <cfRule type="expression" dxfId="237" priority="219">
      <formula>OR($Z23=1,$Z23=12,$Z23=123)</formula>
    </cfRule>
  </conditionalFormatting>
  <conditionalFormatting sqref="E23">
    <cfRule type="expression" dxfId="236" priority="218">
      <formula>OR($Z23=2,$Z23=12,$Z23=123)</formula>
    </cfRule>
  </conditionalFormatting>
  <conditionalFormatting sqref="D21:E21">
    <cfRule type="expression" dxfId="235" priority="217">
      <formula>$B21&lt;&gt;""</formula>
    </cfRule>
  </conditionalFormatting>
  <conditionalFormatting sqref="D21">
    <cfRule type="expression" dxfId="234" priority="216">
      <formula>OR($Z21=1,$Z21=12,$Z21=123)</formula>
    </cfRule>
  </conditionalFormatting>
  <conditionalFormatting sqref="E21">
    <cfRule type="expression" dxfId="233" priority="215">
      <formula>OR($Z21=2,$Z21=12,$Z21=123)</formula>
    </cfRule>
  </conditionalFormatting>
  <conditionalFormatting sqref="D22:E22">
    <cfRule type="expression" dxfId="232" priority="214">
      <formula>$B22&lt;&gt;""</formula>
    </cfRule>
  </conditionalFormatting>
  <conditionalFormatting sqref="D22">
    <cfRule type="expression" dxfId="231" priority="213">
      <formula>OR($Z22=1,$Z22=12,$Z22=123)</formula>
    </cfRule>
  </conditionalFormatting>
  <conditionalFormatting sqref="E22">
    <cfRule type="expression" dxfId="230" priority="212">
      <formula>OR($Z22=2,$Z22=12,$Z22=123)</formula>
    </cfRule>
  </conditionalFormatting>
  <conditionalFormatting sqref="E24">
    <cfRule type="expression" dxfId="229" priority="211">
      <formula>$B24&lt;&gt;""</formula>
    </cfRule>
  </conditionalFormatting>
  <conditionalFormatting sqref="E24">
    <cfRule type="expression" dxfId="228" priority="210">
      <formula>OR($Z24=2,$Z24=12,$Z24=123)</formula>
    </cfRule>
  </conditionalFormatting>
  <conditionalFormatting sqref="D25:E25">
    <cfRule type="expression" dxfId="227" priority="209">
      <formula>$B25&lt;&gt;""</formula>
    </cfRule>
  </conditionalFormatting>
  <conditionalFormatting sqref="D25">
    <cfRule type="expression" dxfId="226" priority="208">
      <formula>OR($Z25=1,$Z25=12,$Z25=123)</formula>
    </cfRule>
  </conditionalFormatting>
  <conditionalFormatting sqref="E25">
    <cfRule type="expression" dxfId="225" priority="207">
      <formula>OR($Z25=2,$Z25=12,$Z25=123)</formula>
    </cfRule>
  </conditionalFormatting>
  <conditionalFormatting sqref="D24">
    <cfRule type="expression" dxfId="224" priority="206">
      <formula>$B24&lt;&gt;""</formula>
    </cfRule>
  </conditionalFormatting>
  <conditionalFormatting sqref="D24">
    <cfRule type="expression" dxfId="223" priority="205">
      <formula>OR($Z24=1,$Z24=12,$Z24=123)</formula>
    </cfRule>
  </conditionalFormatting>
  <conditionalFormatting sqref="A20:H20">
    <cfRule type="expression" dxfId="222" priority="204">
      <formula>$B20&lt;&gt;""</formula>
    </cfRule>
  </conditionalFormatting>
  <conditionalFormatting sqref="D20">
    <cfRule type="expression" dxfId="221" priority="203">
      <formula>OR($Z20=1,$Z20=12,$Z20=123)</formula>
    </cfRule>
  </conditionalFormatting>
  <conditionalFormatting sqref="E20">
    <cfRule type="expression" dxfId="220" priority="202">
      <formula>OR($Z20=2,$Z20=12,$Z20=123)</formula>
    </cfRule>
  </conditionalFormatting>
  <conditionalFormatting sqref="D21:E21">
    <cfRule type="expression" dxfId="219" priority="201">
      <formula>$B21&lt;&gt;""</formula>
    </cfRule>
  </conditionalFormatting>
  <conditionalFormatting sqref="D21">
    <cfRule type="expression" dxfId="218" priority="200">
      <formula>OR($Z21=1,$Z21=12,$Z21=123)</formula>
    </cfRule>
  </conditionalFormatting>
  <conditionalFormatting sqref="E21">
    <cfRule type="expression" dxfId="217" priority="199">
      <formula>OR($Z21=2,$Z21=12,$Z21=123)</formula>
    </cfRule>
  </conditionalFormatting>
  <conditionalFormatting sqref="D24:E24">
    <cfRule type="expression" dxfId="216" priority="198">
      <formula>$B24&lt;&gt;""</formula>
    </cfRule>
  </conditionalFormatting>
  <conditionalFormatting sqref="D24">
    <cfRule type="expression" dxfId="215" priority="197">
      <formula>OR($Z24=1,$Z24=12,$Z24=123)</formula>
    </cfRule>
  </conditionalFormatting>
  <conditionalFormatting sqref="E24">
    <cfRule type="expression" dxfId="214" priority="196">
      <formula>OR($Z24=2,$Z24=12,$Z24=123)</formula>
    </cfRule>
  </conditionalFormatting>
  <conditionalFormatting sqref="D22:E22">
    <cfRule type="expression" dxfId="213" priority="195">
      <formula>$B22&lt;&gt;""</formula>
    </cfRule>
  </conditionalFormatting>
  <conditionalFormatting sqref="D22">
    <cfRule type="expression" dxfId="212" priority="194">
      <formula>OR($Z22=1,$Z22=12,$Z22=123)</formula>
    </cfRule>
  </conditionalFormatting>
  <conditionalFormatting sqref="E22">
    <cfRule type="expression" dxfId="211" priority="193">
      <formula>OR($Z22=2,$Z22=12,$Z22=123)</formula>
    </cfRule>
  </conditionalFormatting>
  <conditionalFormatting sqref="D23:E23">
    <cfRule type="expression" dxfId="210" priority="192">
      <formula>$B23&lt;&gt;""</formula>
    </cfRule>
  </conditionalFormatting>
  <conditionalFormatting sqref="D23">
    <cfRule type="expression" dxfId="209" priority="191">
      <formula>OR($Z23=1,$Z23=12,$Z23=123)</formula>
    </cfRule>
  </conditionalFormatting>
  <conditionalFormatting sqref="E23">
    <cfRule type="expression" dxfId="208" priority="190">
      <formula>OR($Z23=2,$Z23=12,$Z23=123)</formula>
    </cfRule>
  </conditionalFormatting>
  <conditionalFormatting sqref="E25">
    <cfRule type="expression" dxfId="207" priority="189">
      <formula>$B25&lt;&gt;""</formula>
    </cfRule>
  </conditionalFormatting>
  <conditionalFormatting sqref="E25">
    <cfRule type="expression" dxfId="206" priority="188">
      <formula>OR($Z25=2,$Z25=12,$Z25=123)</formula>
    </cfRule>
  </conditionalFormatting>
  <conditionalFormatting sqref="D26:E26">
    <cfRule type="expression" dxfId="205" priority="187">
      <formula>$B26&lt;&gt;""</formula>
    </cfRule>
  </conditionalFormatting>
  <conditionalFormatting sqref="D26">
    <cfRule type="expression" dxfId="204" priority="186">
      <formula>OR($Z26=1,$Z26=12,$Z26=123)</formula>
    </cfRule>
  </conditionalFormatting>
  <conditionalFormatting sqref="E26">
    <cfRule type="expression" dxfId="203" priority="185">
      <formula>OR($Z26=2,$Z26=12,$Z26=123)</formula>
    </cfRule>
  </conditionalFormatting>
  <conditionalFormatting sqref="D25">
    <cfRule type="expression" dxfId="202" priority="184">
      <formula>$B25&lt;&gt;""</formula>
    </cfRule>
  </conditionalFormatting>
  <conditionalFormatting sqref="D25">
    <cfRule type="expression" dxfId="201" priority="183">
      <formula>OR($Z25=1,$Z25=12,$Z25=123)</formula>
    </cfRule>
  </conditionalFormatting>
  <conditionalFormatting sqref="D24:E24">
    <cfRule type="expression" dxfId="200" priority="182">
      <formula>$B24&lt;&gt;""</formula>
    </cfRule>
  </conditionalFormatting>
  <conditionalFormatting sqref="D24">
    <cfRule type="expression" dxfId="199" priority="181">
      <formula>OR($Z24=1,$Z24=12,$Z24=123)</formula>
    </cfRule>
  </conditionalFormatting>
  <conditionalFormatting sqref="E24">
    <cfRule type="expression" dxfId="198" priority="180">
      <formula>OR($Z24=2,$Z24=12,$Z24=123)</formula>
    </cfRule>
  </conditionalFormatting>
  <conditionalFormatting sqref="D25:E25">
    <cfRule type="expression" dxfId="197" priority="179">
      <formula>$B25&lt;&gt;""</formula>
    </cfRule>
  </conditionalFormatting>
  <conditionalFormatting sqref="D25">
    <cfRule type="expression" dxfId="196" priority="178">
      <formula>OR($Z25=1,$Z25=12,$Z25=123)</formula>
    </cfRule>
  </conditionalFormatting>
  <conditionalFormatting sqref="E25">
    <cfRule type="expression" dxfId="195" priority="177">
      <formula>OR($Z25=2,$Z25=12,$Z25=123)</formula>
    </cfRule>
  </conditionalFormatting>
  <conditionalFormatting sqref="D25:E25">
    <cfRule type="expression" dxfId="194" priority="176">
      <formula>$B25&lt;&gt;""</formula>
    </cfRule>
  </conditionalFormatting>
  <conditionalFormatting sqref="D25">
    <cfRule type="expression" dxfId="193" priority="175">
      <formula>OR($Z25=1,$Z25=12,$Z25=123)</formula>
    </cfRule>
  </conditionalFormatting>
  <conditionalFormatting sqref="E25">
    <cfRule type="expression" dxfId="192" priority="174">
      <formula>OR($Z25=2,$Z25=12,$Z25=123)</formula>
    </cfRule>
  </conditionalFormatting>
  <conditionalFormatting sqref="D26:E26">
    <cfRule type="expression" dxfId="191" priority="173">
      <formula>$B26&lt;&gt;""</formula>
    </cfRule>
  </conditionalFormatting>
  <conditionalFormatting sqref="D26">
    <cfRule type="expression" dxfId="190" priority="172">
      <formula>OR($Z26=1,$Z26=12,$Z26=123)</formula>
    </cfRule>
  </conditionalFormatting>
  <conditionalFormatting sqref="E26">
    <cfRule type="expression" dxfId="189" priority="171">
      <formula>OR($Z26=2,$Z26=12,$Z26=123)</formula>
    </cfRule>
  </conditionalFormatting>
  <conditionalFormatting sqref="D24:E24">
    <cfRule type="expression" dxfId="188" priority="170">
      <formula>$B24&lt;&gt;""</formula>
    </cfRule>
  </conditionalFormatting>
  <conditionalFormatting sqref="D24">
    <cfRule type="expression" dxfId="187" priority="169">
      <formula>OR($Z24=1,$Z24=12,$Z24=123)</formula>
    </cfRule>
  </conditionalFormatting>
  <conditionalFormatting sqref="E24">
    <cfRule type="expression" dxfId="186" priority="168">
      <formula>OR($Z24=2,$Z24=12,$Z24=123)</formula>
    </cfRule>
  </conditionalFormatting>
  <conditionalFormatting sqref="D25:E25">
    <cfRule type="expression" dxfId="185" priority="167">
      <formula>$B25&lt;&gt;""</formula>
    </cfRule>
  </conditionalFormatting>
  <conditionalFormatting sqref="D25">
    <cfRule type="expression" dxfId="184" priority="166">
      <formula>OR($Z25=1,$Z25=12,$Z25=123)</formula>
    </cfRule>
  </conditionalFormatting>
  <conditionalFormatting sqref="E25">
    <cfRule type="expression" dxfId="183" priority="165">
      <formula>OR($Z25=2,$Z25=12,$Z25=123)</formula>
    </cfRule>
  </conditionalFormatting>
  <conditionalFormatting sqref="D26:E26">
    <cfRule type="expression" dxfId="182" priority="164">
      <formula>$B26&lt;&gt;""</formula>
    </cfRule>
  </conditionalFormatting>
  <conditionalFormatting sqref="D26">
    <cfRule type="expression" dxfId="181" priority="163">
      <formula>OR($Z26=1,$Z26=12,$Z26=123)</formula>
    </cfRule>
  </conditionalFormatting>
  <conditionalFormatting sqref="E26">
    <cfRule type="expression" dxfId="180" priority="162">
      <formula>OR($Z26=2,$Z26=12,$Z26=123)</formula>
    </cfRule>
  </conditionalFormatting>
  <conditionalFormatting sqref="D24:E24">
    <cfRule type="expression" dxfId="179" priority="161">
      <formula>$B24&lt;&gt;""</formula>
    </cfRule>
  </conditionalFormatting>
  <conditionalFormatting sqref="D24">
    <cfRule type="expression" dxfId="178" priority="160">
      <formula>OR($Z24=1,$Z24=12,$Z24=123)</formula>
    </cfRule>
  </conditionalFormatting>
  <conditionalFormatting sqref="E24">
    <cfRule type="expression" dxfId="177" priority="159">
      <formula>OR($Z24=2,$Z24=12,$Z24=123)</formula>
    </cfRule>
  </conditionalFormatting>
  <conditionalFormatting sqref="D24:E24">
    <cfRule type="expression" dxfId="176" priority="158">
      <formula>$B24&lt;&gt;""</formula>
    </cfRule>
  </conditionalFormatting>
  <conditionalFormatting sqref="D24">
    <cfRule type="expression" dxfId="175" priority="157">
      <formula>OR($Z24=1,$Z24=12,$Z24=123)</formula>
    </cfRule>
  </conditionalFormatting>
  <conditionalFormatting sqref="E24">
    <cfRule type="expression" dxfId="174" priority="156">
      <formula>OR($Z24=2,$Z24=12,$Z24=123)</formula>
    </cfRule>
  </conditionalFormatting>
  <conditionalFormatting sqref="D26:E26">
    <cfRule type="expression" dxfId="173" priority="155">
      <formula>$B26&lt;&gt;""</formula>
    </cfRule>
  </conditionalFormatting>
  <conditionalFormatting sqref="D26">
    <cfRule type="expression" dxfId="172" priority="154">
      <formula>OR($Z26=1,$Z26=12,$Z26=123)</formula>
    </cfRule>
  </conditionalFormatting>
  <conditionalFormatting sqref="E26">
    <cfRule type="expression" dxfId="171" priority="153">
      <formula>OR($Z26=2,$Z26=12,$Z26=123)</formula>
    </cfRule>
  </conditionalFormatting>
  <conditionalFormatting sqref="E24">
    <cfRule type="expression" dxfId="170" priority="152">
      <formula>$B24&lt;&gt;""</formula>
    </cfRule>
  </conditionalFormatting>
  <conditionalFormatting sqref="E24">
    <cfRule type="expression" dxfId="169" priority="151">
      <formula>OR($Z24=2,$Z24=12,$Z24=123)</formula>
    </cfRule>
  </conditionalFormatting>
  <conditionalFormatting sqref="D25:E25">
    <cfRule type="expression" dxfId="168" priority="150">
      <formula>$B25&lt;&gt;""</formula>
    </cfRule>
  </conditionalFormatting>
  <conditionalFormatting sqref="D25">
    <cfRule type="expression" dxfId="167" priority="149">
      <formula>OR($Z25=1,$Z25=12,$Z25=123)</formula>
    </cfRule>
  </conditionalFormatting>
  <conditionalFormatting sqref="E25">
    <cfRule type="expression" dxfId="166" priority="148">
      <formula>OR($Z25=2,$Z25=12,$Z25=123)</formula>
    </cfRule>
  </conditionalFormatting>
  <conditionalFormatting sqref="D24">
    <cfRule type="expression" dxfId="165" priority="147">
      <formula>$B24&lt;&gt;""</formula>
    </cfRule>
  </conditionalFormatting>
  <conditionalFormatting sqref="D24">
    <cfRule type="expression" dxfId="164" priority="146">
      <formula>OR($Z24=1,$Z24=12,$Z24=123)</formula>
    </cfRule>
  </conditionalFormatting>
  <conditionalFormatting sqref="D47">
    <cfRule type="expression" dxfId="163" priority="145">
      <formula>$B47&lt;&gt;""</formula>
    </cfRule>
  </conditionalFormatting>
  <conditionalFormatting sqref="D48">
    <cfRule type="expression" dxfId="162" priority="144">
      <formula>$B48&lt;&gt;""</formula>
    </cfRule>
  </conditionalFormatting>
  <conditionalFormatting sqref="D48">
    <cfRule type="expression" dxfId="161" priority="143">
      <formula>OR($Z48=1,$Z48=12,$Z48=123)</formula>
    </cfRule>
  </conditionalFormatting>
  <conditionalFormatting sqref="D48">
    <cfRule type="expression" dxfId="160" priority="142">
      <formula>$B48&lt;&gt;""</formula>
    </cfRule>
  </conditionalFormatting>
  <conditionalFormatting sqref="D48">
    <cfRule type="expression" dxfId="159" priority="141">
      <formula>OR($Z48=1,$Z48=12,$Z48=123)</formula>
    </cfRule>
  </conditionalFormatting>
  <conditionalFormatting sqref="D48">
    <cfRule type="expression" dxfId="158" priority="140">
      <formula>$B48&lt;&gt;""</formula>
    </cfRule>
  </conditionalFormatting>
  <conditionalFormatting sqref="D48">
    <cfRule type="expression" dxfId="157" priority="139">
      <formula>OR($Z48=1,$Z48=12,$Z48=123)</formula>
    </cfRule>
  </conditionalFormatting>
  <conditionalFormatting sqref="D48">
    <cfRule type="expression" dxfId="156" priority="138">
      <formula>$B48&lt;&gt;""</formula>
    </cfRule>
  </conditionalFormatting>
  <conditionalFormatting sqref="D48">
    <cfRule type="expression" dxfId="155" priority="137">
      <formula>OR($Z48=1,$Z48=12,$Z48=123)</formula>
    </cfRule>
  </conditionalFormatting>
  <conditionalFormatting sqref="D48">
    <cfRule type="expression" dxfId="154" priority="136">
      <formula>$B48&lt;&gt;""</formula>
    </cfRule>
  </conditionalFormatting>
  <conditionalFormatting sqref="D48">
    <cfRule type="expression" dxfId="153" priority="135">
      <formula>OR($Z48=1,$Z48=12,$Z48=123)</formula>
    </cfRule>
  </conditionalFormatting>
  <conditionalFormatting sqref="D48">
    <cfRule type="expression" dxfId="152" priority="134">
      <formula>$B48&lt;&gt;""</formula>
    </cfRule>
  </conditionalFormatting>
  <conditionalFormatting sqref="D48">
    <cfRule type="expression" dxfId="151" priority="133">
      <formula>OR($Z48=1,$Z48=12,$Z48=123)</formula>
    </cfRule>
  </conditionalFormatting>
  <conditionalFormatting sqref="D48">
    <cfRule type="expression" dxfId="150" priority="132">
      <formula>$B48&lt;&gt;""</formula>
    </cfRule>
  </conditionalFormatting>
  <conditionalFormatting sqref="D48">
    <cfRule type="expression" dxfId="149" priority="131">
      <formula>OR($Z48=1,$Z48=12,$Z48=123)</formula>
    </cfRule>
  </conditionalFormatting>
  <conditionalFormatting sqref="D48">
    <cfRule type="expression" dxfId="148" priority="130">
      <formula>$B48&lt;&gt;""</formula>
    </cfRule>
  </conditionalFormatting>
  <conditionalFormatting sqref="D48">
    <cfRule type="expression" dxfId="147" priority="129">
      <formula>OR($Z48=1,$Z48=12,$Z48=123)</formula>
    </cfRule>
  </conditionalFormatting>
  <conditionalFormatting sqref="D48">
    <cfRule type="expression" dxfId="146" priority="128">
      <formula>$B48&lt;&gt;""</formula>
    </cfRule>
  </conditionalFormatting>
  <conditionalFormatting sqref="D48">
    <cfRule type="expression" dxfId="145" priority="127">
      <formula>OR($Z48=1,$Z48=12,$Z48=123)</formula>
    </cfRule>
  </conditionalFormatting>
  <conditionalFormatting sqref="D48">
    <cfRule type="expression" dxfId="144" priority="126">
      <formula>$B48&lt;&gt;""</formula>
    </cfRule>
  </conditionalFormatting>
  <conditionalFormatting sqref="D48">
    <cfRule type="expression" dxfId="143" priority="125">
      <formula>OR($Z48=1,$Z48=12,$Z48=123)</formula>
    </cfRule>
  </conditionalFormatting>
  <conditionalFormatting sqref="D48">
    <cfRule type="expression" dxfId="142" priority="124">
      <formula>$B48&lt;&gt;""</formula>
    </cfRule>
  </conditionalFormatting>
  <conditionalFormatting sqref="D48">
    <cfRule type="expression" dxfId="141" priority="123">
      <formula>OR($Z48=1,$Z48=12,$Z48=123)</formula>
    </cfRule>
  </conditionalFormatting>
  <conditionalFormatting sqref="D48">
    <cfRule type="expression" dxfId="140" priority="122">
      <formula>$B48&lt;&gt;""</formula>
    </cfRule>
  </conditionalFormatting>
  <conditionalFormatting sqref="D48">
    <cfRule type="expression" dxfId="139" priority="121">
      <formula>OR($Z48=1,$Z48=12,$Z48=123)</formula>
    </cfRule>
  </conditionalFormatting>
  <conditionalFormatting sqref="D48">
    <cfRule type="expression" dxfId="138" priority="120">
      <formula>$B48&lt;&gt;""</formula>
    </cfRule>
  </conditionalFormatting>
  <conditionalFormatting sqref="D48">
    <cfRule type="expression" dxfId="137" priority="119">
      <formula>OR($Z48=1,$Z48=12,$Z48=123)</formula>
    </cfRule>
  </conditionalFormatting>
  <conditionalFormatting sqref="D48">
    <cfRule type="expression" dxfId="136" priority="118">
      <formula>$B48&lt;&gt;""</formula>
    </cfRule>
  </conditionalFormatting>
  <conditionalFormatting sqref="D48">
    <cfRule type="expression" dxfId="135" priority="117">
      <formula>OR($Z48=1,$Z48=12,$Z48=123)</formula>
    </cfRule>
  </conditionalFormatting>
  <conditionalFormatting sqref="D48">
    <cfRule type="expression" dxfId="134" priority="116">
      <formula>$B48&lt;&gt;""</formula>
    </cfRule>
  </conditionalFormatting>
  <conditionalFormatting sqref="D48">
    <cfRule type="expression" dxfId="133" priority="115">
      <formula>OR($Z48=1,$Z48=12,$Z48=123)</formula>
    </cfRule>
  </conditionalFormatting>
  <conditionalFormatting sqref="D48">
    <cfRule type="expression" dxfId="132" priority="114">
      <formula>$B48&lt;&gt;""</formula>
    </cfRule>
  </conditionalFormatting>
  <conditionalFormatting sqref="D48">
    <cfRule type="expression" dxfId="131" priority="113">
      <formula>OR($Z48=1,$Z48=12,$Z48=123)</formula>
    </cfRule>
  </conditionalFormatting>
  <conditionalFormatting sqref="D48">
    <cfRule type="expression" dxfId="130" priority="112">
      <formula>$B48&lt;&gt;""</formula>
    </cfRule>
  </conditionalFormatting>
  <conditionalFormatting sqref="D48">
    <cfRule type="expression" dxfId="129" priority="111">
      <formula>OR($Z48=1,$Z48=12,$Z48=123)</formula>
    </cfRule>
  </conditionalFormatting>
  <conditionalFormatting sqref="D48">
    <cfRule type="expression" dxfId="128" priority="110">
      <formula>$B48&lt;&gt;""</formula>
    </cfRule>
  </conditionalFormatting>
  <conditionalFormatting sqref="D48">
    <cfRule type="expression" dxfId="127" priority="109">
      <formula>OR($Z48=1,$Z48=12,$Z48=123)</formula>
    </cfRule>
  </conditionalFormatting>
  <conditionalFormatting sqref="D48">
    <cfRule type="expression" dxfId="126" priority="108">
      <formula>$B48&lt;&gt;""</formula>
    </cfRule>
  </conditionalFormatting>
  <conditionalFormatting sqref="D48">
    <cfRule type="expression" dxfId="125" priority="107">
      <formula>OR($Z48=1,$Z48=12,$Z48=123)</formula>
    </cfRule>
  </conditionalFormatting>
  <conditionalFormatting sqref="D48">
    <cfRule type="expression" dxfId="124" priority="106">
      <formula>$B48&lt;&gt;""</formula>
    </cfRule>
  </conditionalFormatting>
  <conditionalFormatting sqref="D48">
    <cfRule type="expression" dxfId="123" priority="105">
      <formula>OR($Z48=1,$Z48=12,$Z48=123)</formula>
    </cfRule>
  </conditionalFormatting>
  <conditionalFormatting sqref="D48">
    <cfRule type="expression" dxfId="122" priority="104">
      <formula>$B48&lt;&gt;""</formula>
    </cfRule>
  </conditionalFormatting>
  <conditionalFormatting sqref="D48">
    <cfRule type="expression" dxfId="121" priority="103">
      <formula>OR($Z48=1,$Z48=12,$Z48=123)</formula>
    </cfRule>
  </conditionalFormatting>
  <conditionalFormatting sqref="D48">
    <cfRule type="expression" dxfId="120" priority="102">
      <formula>$B48&lt;&gt;""</formula>
    </cfRule>
  </conditionalFormatting>
  <conditionalFormatting sqref="D48">
    <cfRule type="expression" dxfId="119" priority="101">
      <formula>OR($Z48=1,$Z48=12,$Z48=123)</formula>
    </cfRule>
  </conditionalFormatting>
  <conditionalFormatting sqref="D48">
    <cfRule type="expression" dxfId="118" priority="100">
      <formula>$B48&lt;&gt;""</formula>
    </cfRule>
  </conditionalFormatting>
  <conditionalFormatting sqref="D48">
    <cfRule type="expression" dxfId="117" priority="99">
      <formula>OR($Z48=1,$Z48=12,$Z48=123)</formula>
    </cfRule>
  </conditionalFormatting>
  <conditionalFormatting sqref="D48">
    <cfRule type="expression" dxfId="116" priority="98">
      <formula>$B48&lt;&gt;""</formula>
    </cfRule>
  </conditionalFormatting>
  <conditionalFormatting sqref="D48">
    <cfRule type="expression" dxfId="115" priority="97">
      <formula>OR($Z48=1,$Z48=12,$Z48=123)</formula>
    </cfRule>
  </conditionalFormatting>
  <conditionalFormatting sqref="D48">
    <cfRule type="expression" dxfId="114" priority="96">
      <formula>$B48&lt;&gt;""</formula>
    </cfRule>
  </conditionalFormatting>
  <conditionalFormatting sqref="D48">
    <cfRule type="expression" dxfId="113" priority="95">
      <formula>OR($Z48=1,$Z48=12,$Z48=123)</formula>
    </cfRule>
  </conditionalFormatting>
  <conditionalFormatting sqref="D48">
    <cfRule type="expression" dxfId="112" priority="94">
      <formula>$B48&lt;&gt;""</formula>
    </cfRule>
  </conditionalFormatting>
  <conditionalFormatting sqref="D48">
    <cfRule type="expression" dxfId="111" priority="93">
      <formula>OR($Z48=1,$Z48=12,$Z48=123)</formula>
    </cfRule>
  </conditionalFormatting>
  <conditionalFormatting sqref="D48">
    <cfRule type="expression" dxfId="110" priority="92">
      <formula>$B48&lt;&gt;""</formula>
    </cfRule>
  </conditionalFormatting>
  <conditionalFormatting sqref="D48">
    <cfRule type="expression" dxfId="109" priority="91">
      <formula>OR($Z48=1,$Z48=12,$Z48=123)</formula>
    </cfRule>
  </conditionalFormatting>
  <conditionalFormatting sqref="D48">
    <cfRule type="expression" dxfId="108" priority="90">
      <formula>$B48&lt;&gt;""</formula>
    </cfRule>
  </conditionalFormatting>
  <conditionalFormatting sqref="D48">
    <cfRule type="expression" dxfId="107" priority="89">
      <formula>OR($Z48=1,$Z48=12,$Z48=123)</formula>
    </cfRule>
  </conditionalFormatting>
  <conditionalFormatting sqref="D48">
    <cfRule type="expression" dxfId="106" priority="88">
      <formula>$B48&lt;&gt;""</formula>
    </cfRule>
  </conditionalFormatting>
  <conditionalFormatting sqref="D48">
    <cfRule type="expression" dxfId="105" priority="87">
      <formula>OR($Z48=1,$Z48=12,$Z48=123)</formula>
    </cfRule>
  </conditionalFormatting>
  <conditionalFormatting sqref="D48">
    <cfRule type="expression" dxfId="104" priority="86">
      <formula>$B48&lt;&gt;""</formula>
    </cfRule>
  </conditionalFormatting>
  <conditionalFormatting sqref="D48">
    <cfRule type="expression" dxfId="103" priority="85">
      <formula>OR($Z48=1,$Z48=12,$Z48=123)</formula>
    </cfRule>
  </conditionalFormatting>
  <conditionalFormatting sqref="D48">
    <cfRule type="expression" dxfId="102" priority="84">
      <formula>$B48&lt;&gt;""</formula>
    </cfRule>
  </conditionalFormatting>
  <conditionalFormatting sqref="D48">
    <cfRule type="expression" dxfId="101" priority="83">
      <formula>OR($Z48=1,$Z48=12,$Z48=123)</formula>
    </cfRule>
  </conditionalFormatting>
  <conditionalFormatting sqref="D48">
    <cfRule type="expression" dxfId="100" priority="82">
      <formula>$B48&lt;&gt;""</formula>
    </cfRule>
  </conditionalFormatting>
  <conditionalFormatting sqref="D48">
    <cfRule type="expression" dxfId="99" priority="81">
      <formula>OR($Z48=1,$Z48=12,$Z48=123)</formula>
    </cfRule>
  </conditionalFormatting>
  <conditionalFormatting sqref="D48">
    <cfRule type="expression" dxfId="98" priority="80">
      <formula>$B48&lt;&gt;""</formula>
    </cfRule>
  </conditionalFormatting>
  <conditionalFormatting sqref="D48">
    <cfRule type="expression" dxfId="97" priority="79">
      <formula>OR($Z48=1,$Z48=12,$Z48=123)</formula>
    </cfRule>
  </conditionalFormatting>
  <conditionalFormatting sqref="D48">
    <cfRule type="expression" dxfId="96" priority="78">
      <formula>$B48&lt;&gt;""</formula>
    </cfRule>
  </conditionalFormatting>
  <conditionalFormatting sqref="D48">
    <cfRule type="expression" dxfId="95" priority="77">
      <formula>OR($Z48=1,$Z48=12,$Z48=123)</formula>
    </cfRule>
  </conditionalFormatting>
  <conditionalFormatting sqref="D48">
    <cfRule type="expression" dxfId="94" priority="76">
      <formula>$B48&lt;&gt;""</formula>
    </cfRule>
  </conditionalFormatting>
  <conditionalFormatting sqref="D48">
    <cfRule type="expression" dxfId="93" priority="75">
      <formula>OR($Z48=1,$Z48=12,$Z48=123)</formula>
    </cfRule>
  </conditionalFormatting>
  <conditionalFormatting sqref="D48">
    <cfRule type="expression" dxfId="92" priority="74">
      <formula>$B48&lt;&gt;""</formula>
    </cfRule>
  </conditionalFormatting>
  <conditionalFormatting sqref="D48">
    <cfRule type="expression" dxfId="91" priority="73">
      <formula>OR($Z48=1,$Z48=12,$Z48=123)</formula>
    </cfRule>
  </conditionalFormatting>
  <conditionalFormatting sqref="D24">
    <cfRule type="expression" dxfId="90" priority="72">
      <formula>$B24&lt;&gt;""</formula>
    </cfRule>
  </conditionalFormatting>
  <conditionalFormatting sqref="D24">
    <cfRule type="expression" dxfId="89" priority="71">
      <formula>OR($Z24=1,$Z24=12,$Z24=123)</formula>
    </cfRule>
  </conditionalFormatting>
  <conditionalFormatting sqref="D24">
    <cfRule type="expression" dxfId="88" priority="70">
      <formula>$B24&lt;&gt;""</formula>
    </cfRule>
  </conditionalFormatting>
  <conditionalFormatting sqref="D24">
    <cfRule type="expression" dxfId="87" priority="69">
      <formula>OR($Z24=1,$Z24=12,$Z24=123)</formula>
    </cfRule>
  </conditionalFormatting>
  <conditionalFormatting sqref="D24">
    <cfRule type="expression" dxfId="86" priority="68">
      <formula>$B24&lt;&gt;""</formula>
    </cfRule>
  </conditionalFormatting>
  <conditionalFormatting sqref="D24">
    <cfRule type="expression" dxfId="85" priority="67">
      <formula>OR($Z24=1,$Z24=12,$Z24=123)</formula>
    </cfRule>
  </conditionalFormatting>
  <conditionalFormatting sqref="D24">
    <cfRule type="expression" dxfId="84" priority="66">
      <formula>$B24&lt;&gt;""</formula>
    </cfRule>
  </conditionalFormatting>
  <conditionalFormatting sqref="D24">
    <cfRule type="expression" dxfId="83" priority="65">
      <formula>OR($Z24=1,$Z24=12,$Z24=123)</formula>
    </cfRule>
  </conditionalFormatting>
  <conditionalFormatting sqref="D24">
    <cfRule type="expression" dxfId="82" priority="64">
      <formula>$B24&lt;&gt;""</formula>
    </cfRule>
  </conditionalFormatting>
  <conditionalFormatting sqref="D24">
    <cfRule type="expression" dxfId="81" priority="63">
      <formula>OR($Z24=1,$Z24=12,$Z24=123)</formula>
    </cfRule>
  </conditionalFormatting>
  <conditionalFormatting sqref="D24">
    <cfRule type="expression" dxfId="80" priority="62">
      <formula>$B24&lt;&gt;""</formula>
    </cfRule>
  </conditionalFormatting>
  <conditionalFormatting sqref="D24">
    <cfRule type="expression" dxfId="79" priority="61">
      <formula>OR($Z24=1,$Z24=12,$Z24=123)</formula>
    </cfRule>
  </conditionalFormatting>
  <conditionalFormatting sqref="D24">
    <cfRule type="expression" dxfId="78" priority="60">
      <formula>$B24&lt;&gt;""</formula>
    </cfRule>
  </conditionalFormatting>
  <conditionalFormatting sqref="D24">
    <cfRule type="expression" dxfId="77" priority="59">
      <formula>OR($Z24=1,$Z24=12,$Z24=123)</formula>
    </cfRule>
  </conditionalFormatting>
  <conditionalFormatting sqref="D24">
    <cfRule type="expression" dxfId="76" priority="58">
      <formula>$B24&lt;&gt;""</formula>
    </cfRule>
  </conditionalFormatting>
  <conditionalFormatting sqref="D24">
    <cfRule type="expression" dxfId="75" priority="57">
      <formula>OR($Z24=1,$Z24=12,$Z24=123)</formula>
    </cfRule>
  </conditionalFormatting>
  <conditionalFormatting sqref="D24">
    <cfRule type="expression" dxfId="74" priority="56">
      <formula>$B24&lt;&gt;""</formula>
    </cfRule>
  </conditionalFormatting>
  <conditionalFormatting sqref="D24">
    <cfRule type="expression" dxfId="73" priority="55">
      <formula>OR($Z24=1,$Z24=12,$Z24=123)</formula>
    </cfRule>
  </conditionalFormatting>
  <conditionalFormatting sqref="D24">
    <cfRule type="expression" dxfId="72" priority="54">
      <formula>$B24&lt;&gt;""</formula>
    </cfRule>
  </conditionalFormatting>
  <conditionalFormatting sqref="D24">
    <cfRule type="expression" dxfId="71" priority="53">
      <formula>OR($Z24=1,$Z24=12,$Z24=123)</formula>
    </cfRule>
  </conditionalFormatting>
  <conditionalFormatting sqref="D24">
    <cfRule type="expression" dxfId="70" priority="52">
      <formula>$B24&lt;&gt;""</formula>
    </cfRule>
  </conditionalFormatting>
  <conditionalFormatting sqref="D24">
    <cfRule type="expression" dxfId="69" priority="51">
      <formula>OR($Z24=1,$Z24=12,$Z24=123)</formula>
    </cfRule>
  </conditionalFormatting>
  <conditionalFormatting sqref="D24">
    <cfRule type="expression" dxfId="68" priority="50">
      <formula>$B24&lt;&gt;""</formula>
    </cfRule>
  </conditionalFormatting>
  <conditionalFormatting sqref="D24">
    <cfRule type="expression" dxfId="67" priority="49">
      <formula>OR($Z24=1,$Z24=12,$Z24=123)</formula>
    </cfRule>
  </conditionalFormatting>
  <conditionalFormatting sqref="D24">
    <cfRule type="expression" dxfId="66" priority="48">
      <formula>$B24&lt;&gt;""</formula>
    </cfRule>
  </conditionalFormatting>
  <conditionalFormatting sqref="D24">
    <cfRule type="expression" dxfId="65" priority="47">
      <formula>OR($Z24=1,$Z24=12,$Z24=123)</formula>
    </cfRule>
  </conditionalFormatting>
  <conditionalFormatting sqref="D24">
    <cfRule type="expression" dxfId="64" priority="46">
      <formula>$B24&lt;&gt;""</formula>
    </cfRule>
  </conditionalFormatting>
  <conditionalFormatting sqref="D24">
    <cfRule type="expression" dxfId="63" priority="45">
      <formula>OR($Z24=1,$Z24=12,$Z24=123)</formula>
    </cfRule>
  </conditionalFormatting>
  <conditionalFormatting sqref="D24">
    <cfRule type="expression" dxfId="62" priority="44">
      <formula>$B24&lt;&gt;""</formula>
    </cfRule>
  </conditionalFormatting>
  <conditionalFormatting sqref="D24">
    <cfRule type="expression" dxfId="61" priority="43">
      <formula>OR($Z24=1,$Z24=12,$Z24=123)</formula>
    </cfRule>
  </conditionalFormatting>
  <conditionalFormatting sqref="D24">
    <cfRule type="expression" dxfId="60" priority="42">
      <formula>$B24&lt;&gt;""</formula>
    </cfRule>
  </conditionalFormatting>
  <conditionalFormatting sqref="D24">
    <cfRule type="expression" dxfId="59" priority="41">
      <formula>OR($Z24=1,$Z24=12,$Z24=123)</formula>
    </cfRule>
  </conditionalFormatting>
  <conditionalFormatting sqref="D24">
    <cfRule type="expression" dxfId="58" priority="40">
      <formula>$B24&lt;&gt;""</formula>
    </cfRule>
  </conditionalFormatting>
  <conditionalFormatting sqref="D24">
    <cfRule type="expression" dxfId="57" priority="39">
      <formula>OR($Z24=1,$Z24=12,$Z24=123)</formula>
    </cfRule>
  </conditionalFormatting>
  <conditionalFormatting sqref="D24">
    <cfRule type="expression" dxfId="56" priority="38">
      <formula>$B24&lt;&gt;""</formula>
    </cfRule>
  </conditionalFormatting>
  <conditionalFormatting sqref="D24">
    <cfRule type="expression" dxfId="55" priority="37">
      <formula>OR($Z24=1,$Z24=12,$Z24=123)</formula>
    </cfRule>
  </conditionalFormatting>
  <conditionalFormatting sqref="D24">
    <cfRule type="expression" dxfId="54" priority="36">
      <formula>$B24&lt;&gt;""</formula>
    </cfRule>
  </conditionalFormatting>
  <conditionalFormatting sqref="D24">
    <cfRule type="expression" dxfId="53" priority="35">
      <formula>OR($Z24=1,$Z24=12,$Z24=123)</formula>
    </cfRule>
  </conditionalFormatting>
  <conditionalFormatting sqref="D24">
    <cfRule type="expression" dxfId="52" priority="34">
      <formula>$B24&lt;&gt;""</formula>
    </cfRule>
  </conditionalFormatting>
  <conditionalFormatting sqref="D24">
    <cfRule type="expression" dxfId="51" priority="33">
      <formula>OR($Z24=1,$Z24=12,$Z24=123)</formula>
    </cfRule>
  </conditionalFormatting>
  <conditionalFormatting sqref="D24">
    <cfRule type="expression" dxfId="50" priority="32">
      <formula>$B24&lt;&gt;""</formula>
    </cfRule>
  </conditionalFormatting>
  <conditionalFormatting sqref="D24">
    <cfRule type="expression" dxfId="49" priority="31">
      <formula>OR($Z24=1,$Z24=12,$Z24=123)</formula>
    </cfRule>
  </conditionalFormatting>
  <conditionalFormatting sqref="D24">
    <cfRule type="expression" dxfId="48" priority="30">
      <formula>$B24&lt;&gt;""</formula>
    </cfRule>
  </conditionalFormatting>
  <conditionalFormatting sqref="D24">
    <cfRule type="expression" dxfId="47" priority="29">
      <formula>OR($Z24=1,$Z24=12,$Z24=123)</formula>
    </cfRule>
  </conditionalFormatting>
  <conditionalFormatting sqref="D24">
    <cfRule type="expression" dxfId="46" priority="28">
      <formula>$B24&lt;&gt;""</formula>
    </cfRule>
  </conditionalFormatting>
  <conditionalFormatting sqref="D24">
    <cfRule type="expression" dxfId="45" priority="27">
      <formula>OR($Z24=1,$Z24=12,$Z24=123)</formula>
    </cfRule>
  </conditionalFormatting>
  <conditionalFormatting sqref="D24">
    <cfRule type="expression" dxfId="44" priority="26">
      <formula>$B24&lt;&gt;""</formula>
    </cfRule>
  </conditionalFormatting>
  <conditionalFormatting sqref="D24">
    <cfRule type="expression" dxfId="43" priority="25">
      <formula>OR($Z24=1,$Z24=12,$Z24=123)</formula>
    </cfRule>
  </conditionalFormatting>
  <conditionalFormatting sqref="D24">
    <cfRule type="expression" dxfId="42" priority="24">
      <formula>$B24&lt;&gt;""</formula>
    </cfRule>
  </conditionalFormatting>
  <conditionalFormatting sqref="D24">
    <cfRule type="expression" dxfId="41" priority="23">
      <formula>OR($Z24=1,$Z24=12,$Z24=123)</formula>
    </cfRule>
  </conditionalFormatting>
  <conditionalFormatting sqref="D24">
    <cfRule type="expression" dxfId="40" priority="22">
      <formula>$B24&lt;&gt;""</formula>
    </cfRule>
  </conditionalFormatting>
  <conditionalFormatting sqref="D24">
    <cfRule type="expression" dxfId="39" priority="21">
      <formula>OR($Z24=1,$Z24=12,$Z24=123)</formula>
    </cfRule>
  </conditionalFormatting>
  <conditionalFormatting sqref="D24">
    <cfRule type="expression" dxfId="38" priority="20">
      <formula>$B24&lt;&gt;""</formula>
    </cfRule>
  </conditionalFormatting>
  <conditionalFormatting sqref="D24">
    <cfRule type="expression" dxfId="37" priority="19">
      <formula>OR($Z24=1,$Z24=12,$Z24=123)</formula>
    </cfRule>
  </conditionalFormatting>
  <conditionalFormatting sqref="D24">
    <cfRule type="expression" dxfId="36" priority="18">
      <formula>$B24&lt;&gt;""</formula>
    </cfRule>
  </conditionalFormatting>
  <conditionalFormatting sqref="D24">
    <cfRule type="expression" dxfId="35" priority="17">
      <formula>OR($Z24=1,$Z24=12,$Z24=123)</formula>
    </cfRule>
  </conditionalFormatting>
  <conditionalFormatting sqref="D24">
    <cfRule type="expression" dxfId="34" priority="16">
      <formula>$B24&lt;&gt;""</formula>
    </cfRule>
  </conditionalFormatting>
  <conditionalFormatting sqref="D24">
    <cfRule type="expression" dxfId="33" priority="15">
      <formula>OR($Z24=1,$Z24=12,$Z24=123)</formula>
    </cfRule>
  </conditionalFormatting>
  <conditionalFormatting sqref="D24">
    <cfRule type="expression" dxfId="32" priority="14">
      <formula>$B24&lt;&gt;""</formula>
    </cfRule>
  </conditionalFormatting>
  <conditionalFormatting sqref="D24">
    <cfRule type="expression" dxfId="31" priority="13">
      <formula>OR($Z24=1,$Z24=12,$Z24=123)</formula>
    </cfRule>
  </conditionalFormatting>
  <conditionalFormatting sqref="D24">
    <cfRule type="expression" dxfId="30" priority="12">
      <formula>$B24&lt;&gt;""</formula>
    </cfRule>
  </conditionalFormatting>
  <conditionalFormatting sqref="D24">
    <cfRule type="expression" dxfId="29" priority="11">
      <formula>OR($Z24=1,$Z24=12,$Z24=123)</formula>
    </cfRule>
  </conditionalFormatting>
  <conditionalFormatting sqref="D24">
    <cfRule type="expression" dxfId="28" priority="10">
      <formula>$B24&lt;&gt;""</formula>
    </cfRule>
  </conditionalFormatting>
  <conditionalFormatting sqref="D24">
    <cfRule type="expression" dxfId="27" priority="9">
      <formula>OR($Z24=1,$Z24=12,$Z24=123)</formula>
    </cfRule>
  </conditionalFormatting>
  <conditionalFormatting sqref="D24">
    <cfRule type="expression" dxfId="26" priority="8">
      <formula>$B24&lt;&gt;""</formula>
    </cfRule>
  </conditionalFormatting>
  <conditionalFormatting sqref="D24">
    <cfRule type="expression" dxfId="25" priority="7">
      <formula>OR($Z24=1,$Z24=12,$Z24=123)</formula>
    </cfRule>
  </conditionalFormatting>
  <conditionalFormatting sqref="D24">
    <cfRule type="expression" dxfId="24" priority="6">
      <formula>$B24&lt;&gt;""</formula>
    </cfRule>
  </conditionalFormatting>
  <conditionalFormatting sqref="D24">
    <cfRule type="expression" dxfId="23" priority="5">
      <formula>OR($Z24=1,$Z24=12,$Z24=123)</formula>
    </cfRule>
  </conditionalFormatting>
  <conditionalFormatting sqref="D24">
    <cfRule type="expression" dxfId="22" priority="4">
      <formula>$B24&lt;&gt;""</formula>
    </cfRule>
  </conditionalFormatting>
  <conditionalFormatting sqref="D24">
    <cfRule type="expression" dxfId="21" priority="3">
      <formula>OR($Z24=1,$Z24=12,$Z24=123)</formula>
    </cfRule>
  </conditionalFormatting>
  <conditionalFormatting sqref="D24">
    <cfRule type="expression" dxfId="20" priority="2">
      <formula>$B24&lt;&gt;""</formula>
    </cfRule>
  </conditionalFormatting>
  <conditionalFormatting sqref="D24">
    <cfRule type="expression" dxfId="19" priority="1">
      <formula>OR($Z24=1,$Z24=12,$Z24=123)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OFFSET(Config!$B$13,0,0,COUNTA(Config!$B$13:$B$68),1)</xm:f>
          </x14:formula1>
          <xm:sqref>B2:B909</xm:sqref>
        </x14:dataValidation>
        <x14:dataValidation type="list" allowBlank="1" showInputMessage="1" showErrorMessage="1">
          <x14:formula1>
            <xm:f>OFFSET(TestCases!$C$2,0,0,COUNTA(TestCases!$C$2:$C$600),1)</xm:f>
          </x14:formula1>
          <xm:sqref>J8:J9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C00000"/>
  </sheetPr>
  <dimension ref="A1:CQ600"/>
  <sheetViews>
    <sheetView tabSelected="1" zoomScale="130" zoomScaleNormal="130" zoomScalePageLayoutView="130" workbookViewId="0">
      <pane ySplit="1" topLeftCell="A2" activePane="bottomLeft" state="frozen"/>
      <selection pane="bottomLeft" activeCell="X17" sqref="X17"/>
    </sheetView>
  </sheetViews>
  <sheetFormatPr baseColWidth="10" defaultColWidth="9.1640625" defaultRowHeight="12" x14ac:dyDescent="0.15"/>
  <cols>
    <col min="1" max="1" width="4.6640625" style="2" customWidth="1"/>
    <col min="2" max="2" width="4.1640625" style="2" customWidth="1"/>
    <col min="3" max="3" width="27.5" style="2" customWidth="1"/>
    <col min="4" max="7" width="0.83203125" style="2" customWidth="1"/>
    <col min="8" max="8" width="4.6640625" style="2" customWidth="1"/>
    <col min="9" max="9" width="4.1640625" style="2" customWidth="1"/>
    <col min="10" max="10" width="23.6640625" style="2" customWidth="1"/>
    <col min="11" max="14" width="0.83203125" style="2" customWidth="1"/>
    <col min="15" max="15" width="4.6640625" style="2" customWidth="1"/>
    <col min="16" max="16" width="4.1640625" style="2" customWidth="1"/>
    <col min="17" max="17" width="17.6640625" style="2" customWidth="1"/>
    <col min="18" max="18" width="7.1640625" style="2" customWidth="1"/>
    <col min="19" max="21" width="2" style="2" customWidth="1"/>
    <col min="22" max="22" width="4.5" style="2" customWidth="1"/>
    <col min="23" max="23" width="13.5" style="2" customWidth="1"/>
    <col min="24" max="24" width="18.83203125" style="2" customWidth="1"/>
    <col min="25" max="25" width="10" style="2" bestFit="1" customWidth="1"/>
    <col min="26" max="26" width="60.1640625" style="2" customWidth="1"/>
    <col min="27" max="27" width="6.33203125" style="2" customWidth="1"/>
    <col min="28" max="28" width="8.5" style="2" customWidth="1"/>
    <col min="29" max="29" width="21.6640625" style="2" customWidth="1"/>
    <col min="30" max="30" width="6.6640625" style="2" customWidth="1"/>
    <col min="31" max="32" width="0.6640625" style="2" customWidth="1"/>
    <col min="33" max="35" width="9.1640625" style="2"/>
    <col min="36" max="39" width="0.6640625" style="2" customWidth="1"/>
    <col min="40" max="40" width="9.1640625" style="2"/>
    <col min="41" max="44" width="0.6640625" style="2" customWidth="1"/>
    <col min="45" max="47" width="9.1640625" style="2"/>
    <col min="48" max="52" width="0.6640625" style="2" customWidth="1"/>
    <col min="53" max="53" width="9.1640625" style="2"/>
    <col min="54" max="54" width="10.5" style="2" customWidth="1"/>
    <col min="55" max="55" width="9.1640625" style="2"/>
    <col min="56" max="59" width="1.33203125" style="2" customWidth="1"/>
    <col min="60" max="60" width="7.6640625" style="2" customWidth="1"/>
    <col min="61" max="78" width="1.33203125" style="2" customWidth="1"/>
    <col min="79" max="79" width="3.5" style="2" customWidth="1"/>
    <col min="80" max="80" width="3" style="2" customWidth="1"/>
    <col min="81" max="81" width="13.83203125" style="2" customWidth="1"/>
    <col min="82" max="85" width="0.83203125" style="2" customWidth="1"/>
    <col min="86" max="86" width="2.83203125" style="2" customWidth="1"/>
    <col min="87" max="87" width="2.5" style="2" customWidth="1"/>
    <col min="88" max="88" width="13.1640625" style="2" customWidth="1"/>
    <col min="89" max="92" width="0.83203125" style="2" customWidth="1"/>
    <col min="93" max="93" width="2.1640625" style="2" bestFit="1" customWidth="1"/>
    <col min="94" max="94" width="1.83203125" style="2" bestFit="1" customWidth="1"/>
    <col min="95" max="95" width="15.6640625" style="2" customWidth="1"/>
    <col min="96" max="16384" width="9.1640625" style="2"/>
  </cols>
  <sheetData>
    <row r="1" spans="1:95" ht="26.25" customHeight="1" thickBot="1" x14ac:dyDescent="0.2">
      <c r="A1" s="92" t="s">
        <v>102</v>
      </c>
      <c r="B1" s="93"/>
      <c r="C1" s="94"/>
      <c r="H1" s="92" t="s">
        <v>103</v>
      </c>
      <c r="I1" s="93"/>
      <c r="J1" s="94"/>
      <c r="O1" s="92" t="s">
        <v>104</v>
      </c>
      <c r="P1" s="93"/>
      <c r="Q1" s="93"/>
      <c r="R1" s="53" t="s">
        <v>125</v>
      </c>
      <c r="S1" s="103" t="s">
        <v>151</v>
      </c>
      <c r="T1" s="103"/>
      <c r="U1" s="103"/>
      <c r="V1" s="104"/>
      <c r="Z1" s="69"/>
      <c r="AA1" s="101" t="s">
        <v>105</v>
      </c>
      <c r="AB1" s="102"/>
      <c r="AC1" s="102"/>
      <c r="AD1" s="102"/>
      <c r="AG1" s="98" t="s">
        <v>110</v>
      </c>
      <c r="AH1" s="99"/>
      <c r="AI1" s="100"/>
      <c r="AN1" s="42" t="s">
        <v>111</v>
      </c>
      <c r="AS1" s="48" t="s">
        <v>112</v>
      </c>
      <c r="AT1" s="49" t="s">
        <v>113</v>
      </c>
      <c r="AU1" s="38" t="s">
        <v>114</v>
      </c>
      <c r="BA1" s="48" t="s">
        <v>115</v>
      </c>
      <c r="BB1" s="49" t="s">
        <v>116</v>
      </c>
      <c r="BC1" s="38" t="s">
        <v>117</v>
      </c>
      <c r="BH1" s="38" t="s">
        <v>133</v>
      </c>
      <c r="CA1" s="92" t="s">
        <v>102</v>
      </c>
      <c r="CB1" s="93"/>
      <c r="CC1" s="94"/>
      <c r="CH1" s="92" t="s">
        <v>103</v>
      </c>
      <c r="CI1" s="93"/>
      <c r="CJ1" s="94"/>
      <c r="CO1" s="92" t="s">
        <v>104</v>
      </c>
      <c r="CP1" s="93"/>
      <c r="CQ1" s="94"/>
    </row>
    <row r="2" spans="1:95" ht="11.25" customHeight="1" thickBot="1" x14ac:dyDescent="0.2">
      <c r="A2" s="2" t="s">
        <v>76</v>
      </c>
      <c r="C2" s="2" t="s">
        <v>109</v>
      </c>
      <c r="AA2" s="33" t="s">
        <v>106</v>
      </c>
      <c r="AB2" s="33" t="s">
        <v>109</v>
      </c>
      <c r="AC2" s="33" t="s">
        <v>130</v>
      </c>
      <c r="AD2" s="33" t="s">
        <v>121</v>
      </c>
      <c r="AG2" s="44" t="s">
        <v>106</v>
      </c>
      <c r="AH2" s="45" t="s">
        <v>108</v>
      </c>
      <c r="AI2" s="46" t="s">
        <v>12</v>
      </c>
      <c r="AN2" s="43">
        <f>COUNTIFS(X12:X1600,"&lt;&gt;"&amp;"")+11</f>
        <v>12</v>
      </c>
      <c r="AS2" s="50">
        <f>MAX(B2:B600)</f>
        <v>0</v>
      </c>
      <c r="AT2" s="50">
        <f>MAX(I2:I600)</f>
        <v>0</v>
      </c>
      <c r="AU2" s="50">
        <f>MAX(P2:P600)</f>
        <v>0</v>
      </c>
      <c r="BA2" s="51" t="s">
        <v>109</v>
      </c>
      <c r="BB2" s="51" t="s">
        <v>152</v>
      </c>
      <c r="BC2" s="51" t="s">
        <v>122</v>
      </c>
      <c r="BH2" s="2">
        <f>COUNTIFS(A2:A102,"Y")+COUNTIFS(H2:H102,"Y")+COUNTIFS(O2:O102,"Y")</f>
        <v>0</v>
      </c>
      <c r="CA2" s="2" t="s">
        <v>76</v>
      </c>
      <c r="CC2" s="2" t="s">
        <v>109</v>
      </c>
    </row>
    <row r="3" spans="1:95" ht="11.25" customHeight="1" x14ac:dyDescent="0.15">
      <c r="AA3" s="2">
        <f>IF(AC3&lt;&gt;"",ROW()-2,"")</f>
        <v>1</v>
      </c>
      <c r="AB3" s="2" t="s">
        <v>109</v>
      </c>
      <c r="AC3" s="2" t="s">
        <v>109</v>
      </c>
      <c r="AD3" s="2" t="s">
        <v>121</v>
      </c>
      <c r="BA3" s="51" t="str">
        <f>IF($BA2&lt;&gt;"",IF(ISNA(INDEX($CA$2:$CC$600,MATCH($BA2,$CC$2:$CC$600,0),3))=FALSE,IFERROR(INDEX($CA$2:$CC$600,MATCH($BA2,$CC$2:$CC$600,0),1),"N"),"N"),"")</f>
        <v>N</v>
      </c>
      <c r="BB3" s="51" t="str">
        <f>IF($BB2&lt;&gt;"",IF(ISNA(INDEX($CH$2:$CJ$600,MATCH($BB2,$CJ$2:$CJ$600,0),3))=FALSE,IFERROR(INDEX($CH$2:$CJ$600,MATCH($BB2,$CJ$2:$CJ$600,0),1),"N"),"N"),"")</f>
        <v>N</v>
      </c>
      <c r="BC3" s="51" t="str">
        <f>IF($BC2&lt;&gt;"",IF(ISNA(INDEX($CO$2:$CQ$600,MATCH($BC2,$CQ$2:$CQ$600,0),3))=FALSE,IFERROR(INDEX($CO$2:$CQ$600,MATCH($BC2,$CQ$2:$CQ$600,0),1),"N"),"N"),"")</f>
        <v>N</v>
      </c>
    </row>
    <row r="4" spans="1:95" ht="11.25" customHeight="1" thickBot="1" x14ac:dyDescent="0.2">
      <c r="AA4" s="2" t="str">
        <f t="shared" ref="AA4:AA67" si="0">IF(AC4&lt;&gt;"",ROW()-2,"")</f>
        <v/>
      </c>
    </row>
    <row r="5" spans="1:95" ht="11.25" customHeight="1" thickBot="1" x14ac:dyDescent="0.2">
      <c r="V5" s="36"/>
      <c r="W5" s="37"/>
      <c r="X5" s="47"/>
      <c r="Y5" s="36"/>
      <c r="AA5" s="2" t="str">
        <f t="shared" si="0"/>
        <v/>
      </c>
    </row>
    <row r="6" spans="1:95" ht="11.25" customHeight="1" thickBot="1" x14ac:dyDescent="0.2">
      <c r="V6" s="35"/>
      <c r="W6" s="35"/>
      <c r="X6" s="35"/>
      <c r="Y6" s="35"/>
      <c r="AA6" s="2" t="str">
        <f t="shared" si="0"/>
        <v/>
      </c>
    </row>
    <row r="7" spans="1:95" ht="11.25" customHeight="1" thickBot="1" x14ac:dyDescent="0.2">
      <c r="V7" s="36"/>
      <c r="W7" s="37"/>
      <c r="X7" s="47"/>
      <c r="Y7" s="36"/>
      <c r="AA7" s="2" t="str">
        <f t="shared" si="0"/>
        <v/>
      </c>
    </row>
    <row r="8" spans="1:95" ht="11.25" customHeight="1" x14ac:dyDescent="0.15">
      <c r="V8" s="35"/>
      <c r="W8" s="35"/>
      <c r="X8" s="35"/>
      <c r="Y8" s="35"/>
      <c r="AA8" s="2" t="str">
        <f t="shared" si="0"/>
        <v/>
      </c>
    </row>
    <row r="9" spans="1:95" ht="11.25" customHeight="1" thickBot="1" x14ac:dyDescent="0.2">
      <c r="V9" s="20"/>
      <c r="W9" s="35"/>
      <c r="X9" s="20"/>
      <c r="Y9" s="20"/>
      <c r="AA9" s="2" t="str">
        <f t="shared" si="0"/>
        <v/>
      </c>
    </row>
    <row r="10" spans="1:95" ht="11.25" customHeight="1" thickBot="1" x14ac:dyDescent="0.2">
      <c r="V10" s="95" t="s">
        <v>127</v>
      </c>
      <c r="W10" s="96"/>
      <c r="X10" s="96"/>
      <c r="Y10" s="97"/>
      <c r="AA10" s="2" t="str">
        <f t="shared" si="0"/>
        <v/>
      </c>
    </row>
    <row r="11" spans="1:95" ht="11.25" customHeight="1" x14ac:dyDescent="0.15">
      <c r="V11" s="34" t="s">
        <v>106</v>
      </c>
      <c r="W11" s="34" t="s">
        <v>107</v>
      </c>
      <c r="X11" s="34" t="s">
        <v>108</v>
      </c>
      <c r="Y11" s="34" t="s">
        <v>12</v>
      </c>
      <c r="AA11" s="2" t="str">
        <f t="shared" si="0"/>
        <v/>
      </c>
    </row>
    <row r="12" spans="1:95" ht="11.25" customHeight="1" x14ac:dyDescent="0.15">
      <c r="V12" s="39">
        <f>IF(X12&lt;&gt;"",ROW()-ROW(V$11),"")</f>
        <v>1</v>
      </c>
      <c r="W12" s="40" t="s">
        <v>109</v>
      </c>
      <c r="X12" s="40" t="s">
        <v>109</v>
      </c>
      <c r="Y12" s="41" t="str">
        <f t="array" ref="Y12">IF(X12&lt;&gt;"",IFERROR(INDEX($AB$3:$AD$600,MATCH(1,($AB$3:$AB$600=W12)*($AC$3:$AC$600=X12),0),3),"Don’t Exists"),"")</f>
        <v>Exists</v>
      </c>
      <c r="AA12" s="2" t="str">
        <f t="shared" si="0"/>
        <v/>
      </c>
    </row>
    <row r="13" spans="1:95" x14ac:dyDescent="0.15">
      <c r="V13" s="39" t="str">
        <f t="shared" ref="V13:V76" si="1">IF(X13&lt;&gt;"",ROW()-ROW(V$11),"")</f>
        <v/>
      </c>
      <c r="W13" s="40"/>
      <c r="X13" s="40"/>
      <c r="Y13" s="41" t="str">
        <f t="array" ref="Y13">IF(X13&lt;&gt;"",IFERROR(INDEX($AB$3:$AD$600,MATCH(1,($AB$3:$AB$600=W13)*($AC$3:$AC$600=X13),0),3),"Don’t Exists"),"")</f>
        <v/>
      </c>
      <c r="AA13" s="2" t="str">
        <f t="shared" si="0"/>
        <v/>
      </c>
    </row>
    <row r="14" spans="1:95" x14ac:dyDescent="0.15">
      <c r="V14" s="39" t="str">
        <f t="shared" si="1"/>
        <v/>
      </c>
      <c r="W14" s="40"/>
      <c r="X14" s="40"/>
      <c r="Y14" s="41" t="str">
        <f t="array" ref="Y14">IF(X14&lt;&gt;"",IFERROR(INDEX($AB$3:$AD$600,MATCH(1,($AB$3:$AB$600=W14)*($AC$3:$AC$600=X14),0),3),"Don’t Exists"),"")</f>
        <v/>
      </c>
      <c r="AA14" s="2" t="str">
        <f t="shared" si="0"/>
        <v/>
      </c>
    </row>
    <row r="15" spans="1:95" x14ac:dyDescent="0.15">
      <c r="V15" s="39" t="str">
        <f t="shared" si="1"/>
        <v/>
      </c>
      <c r="W15" s="41"/>
      <c r="X15" s="41"/>
      <c r="Y15" s="41" t="str">
        <f t="array" ref="Y15">IF(X15&lt;&gt;"",IFERROR(INDEX($AB$3:$AD$600,MATCH(1,($AB$3:$AB$600=W15)*($AC$3:$AC$600=X15),0),3),"Don’t Exists"),"")</f>
        <v/>
      </c>
      <c r="AA15" s="2" t="str">
        <f t="shared" si="0"/>
        <v/>
      </c>
    </row>
    <row r="16" spans="1:95" x14ac:dyDescent="0.15">
      <c r="V16" s="39" t="str">
        <f t="shared" si="1"/>
        <v/>
      </c>
      <c r="W16" s="41"/>
      <c r="X16" s="41"/>
      <c r="Y16" s="41" t="str">
        <f t="array" ref="Y16">IF(X16&lt;&gt;"",IFERROR(INDEX($AB$3:$AD$600,MATCH(1,($AB$3:$AB$600=W16)*($AC$3:$AC$600=X16),0),3),"Don’t Exists"),"")</f>
        <v/>
      </c>
      <c r="AA16" s="2" t="str">
        <f t="shared" si="0"/>
        <v/>
      </c>
    </row>
    <row r="17" spans="22:27" x14ac:dyDescent="0.15">
      <c r="V17" s="39" t="str">
        <f t="shared" si="1"/>
        <v/>
      </c>
      <c r="W17" s="41"/>
      <c r="X17" s="41"/>
      <c r="Y17" s="41" t="str">
        <f t="array" ref="Y17">IF(X17&lt;&gt;"",IFERROR(INDEX($AB$3:$AD$600,MATCH(1,($AB$3:$AB$600=W17)*($AC$3:$AC$600=X17),0),3),"Don’t Exists"),"")</f>
        <v/>
      </c>
      <c r="AA17" s="2" t="str">
        <f t="shared" si="0"/>
        <v/>
      </c>
    </row>
    <row r="18" spans="22:27" x14ac:dyDescent="0.15">
      <c r="V18" s="39" t="str">
        <f t="shared" si="1"/>
        <v/>
      </c>
      <c r="W18" s="41"/>
      <c r="X18" s="41"/>
      <c r="Y18" s="41" t="str">
        <f t="array" ref="Y18">IF(X18&lt;&gt;"",IFERROR(INDEX($AB$3:$AD$600,MATCH(1,($AB$3:$AB$600=W18)*($AC$3:$AC$600=X18),0),3),"Don’t Exists"),"")</f>
        <v/>
      </c>
      <c r="AA18" s="2" t="str">
        <f t="shared" si="0"/>
        <v/>
      </c>
    </row>
    <row r="19" spans="22:27" x14ac:dyDescent="0.15">
      <c r="V19" s="39" t="str">
        <f t="shared" si="1"/>
        <v/>
      </c>
      <c r="W19" s="41"/>
      <c r="X19" s="41"/>
      <c r="Y19" s="41" t="str">
        <f t="array" ref="Y19">IF(X19&lt;&gt;"",IFERROR(INDEX($AB$3:$AD$600,MATCH(1,($AB$3:$AB$600=W19)*($AC$3:$AC$600=X19),0),3),"Don’t Exists"),"")</f>
        <v/>
      </c>
      <c r="AA19" s="2" t="str">
        <f t="shared" si="0"/>
        <v/>
      </c>
    </row>
    <row r="20" spans="22:27" x14ac:dyDescent="0.15">
      <c r="V20" s="39" t="str">
        <f t="shared" si="1"/>
        <v/>
      </c>
      <c r="W20" s="41"/>
      <c r="X20" s="41"/>
      <c r="Y20" s="41" t="str">
        <f t="array" ref="Y20">IF(X20&lt;&gt;"",IFERROR(INDEX($AB$3:$AD$600,MATCH(1,($AB$3:$AB$600=W20)*($AC$3:$AC$600=X20),0),3),"Don’t Exists"),"")</f>
        <v/>
      </c>
      <c r="AA20" s="2" t="str">
        <f t="shared" si="0"/>
        <v/>
      </c>
    </row>
    <row r="21" spans="22:27" x14ac:dyDescent="0.15">
      <c r="V21" s="39" t="str">
        <f t="shared" si="1"/>
        <v/>
      </c>
      <c r="W21" s="41"/>
      <c r="X21" s="41"/>
      <c r="Y21" s="41" t="str">
        <f t="array" ref="Y21">IF(X21&lt;&gt;"",IFERROR(INDEX($AB$3:$AD$600,MATCH(1,($AB$3:$AB$600=W21)*($AC$3:$AC$600=X21),0),3),"Don’t Exists"),"")</f>
        <v/>
      </c>
      <c r="AA21" s="2" t="str">
        <f t="shared" si="0"/>
        <v/>
      </c>
    </row>
    <row r="22" spans="22:27" x14ac:dyDescent="0.15">
      <c r="V22" s="39" t="str">
        <f t="shared" si="1"/>
        <v/>
      </c>
      <c r="W22" s="39"/>
      <c r="X22" s="39"/>
      <c r="Y22" s="39" t="str">
        <f t="array" ref="Y22">IF(X22&lt;&gt;"",IFERROR(INDEX($AB$3:$AD$600,MATCH(1,($AB$3:$AB$600=W22)*($AC$3:$AC$600=X22),0),3),"Don’t Exists"),"")</f>
        <v/>
      </c>
      <c r="AA22" s="2" t="str">
        <f t="shared" si="0"/>
        <v/>
      </c>
    </row>
    <row r="23" spans="22:27" x14ac:dyDescent="0.15">
      <c r="V23" s="39" t="str">
        <f t="shared" si="1"/>
        <v/>
      </c>
      <c r="W23" s="39"/>
      <c r="X23" s="39"/>
      <c r="Y23" s="39" t="str">
        <f t="array" ref="Y23">IF(X23&lt;&gt;"",IFERROR(INDEX($AB$3:$AD$600,MATCH(1,($AB$3:$AB$600=W23)*($AC$3:$AC$600=X23),0),3),"Don’t Exists"),"")</f>
        <v/>
      </c>
      <c r="AA23" s="2" t="str">
        <f t="shared" si="0"/>
        <v/>
      </c>
    </row>
    <row r="24" spans="22:27" x14ac:dyDescent="0.15">
      <c r="V24" s="39" t="str">
        <f t="shared" si="1"/>
        <v/>
      </c>
      <c r="W24" s="39"/>
      <c r="X24" s="39"/>
      <c r="Y24" s="39" t="str">
        <f t="array" ref="Y24">IF(X24&lt;&gt;"",IFERROR(INDEX($AB$3:$AD$600,MATCH(1,($AB$3:$AB$600=W24)*($AC$3:$AC$600=X24),0),3),"Don’t Exists"),"")</f>
        <v/>
      </c>
      <c r="AA24" s="2" t="str">
        <f t="shared" si="0"/>
        <v/>
      </c>
    </row>
    <row r="25" spans="22:27" x14ac:dyDescent="0.15">
      <c r="V25" s="39" t="str">
        <f t="shared" si="1"/>
        <v/>
      </c>
      <c r="W25" s="39"/>
      <c r="X25" s="39"/>
      <c r="Y25" s="39" t="str">
        <f t="array" ref="Y25">IF(X25&lt;&gt;"",IFERROR(INDEX($AB$3:$AD$600,MATCH(1,($AB$3:$AB$600=W25)*($AC$3:$AC$600=X25),0),3),"Don’t Exists"),"")</f>
        <v/>
      </c>
      <c r="AA25" s="2" t="str">
        <f t="shared" si="0"/>
        <v/>
      </c>
    </row>
    <row r="26" spans="22:27" x14ac:dyDescent="0.15">
      <c r="V26" s="39" t="str">
        <f t="shared" si="1"/>
        <v/>
      </c>
      <c r="W26" s="39"/>
      <c r="X26" s="39"/>
      <c r="Y26" s="39" t="str">
        <f t="array" ref="Y26">IF(X26&lt;&gt;"",IFERROR(INDEX($AB$3:$AD$600,MATCH(1,($AB$3:$AB$600=W26)*($AC$3:$AC$600=X26),0),3),"Don’t Exists"),"")</f>
        <v/>
      </c>
      <c r="AA26" s="2" t="str">
        <f t="shared" si="0"/>
        <v/>
      </c>
    </row>
    <row r="27" spans="22:27" x14ac:dyDescent="0.15">
      <c r="V27" s="39" t="str">
        <f t="shared" si="1"/>
        <v/>
      </c>
      <c r="W27" s="39"/>
      <c r="X27" s="39"/>
      <c r="Y27" s="39" t="str">
        <f t="array" ref="Y27">IF(X27&lt;&gt;"",IFERROR(INDEX($AB$3:$AD$600,MATCH(1,($AB$3:$AB$600=W27)*($AC$3:$AC$600=X27),0),3),"Don’t Exists"),"")</f>
        <v/>
      </c>
      <c r="AA27" s="2" t="str">
        <f t="shared" si="0"/>
        <v/>
      </c>
    </row>
    <row r="28" spans="22:27" x14ac:dyDescent="0.15">
      <c r="V28" s="39" t="str">
        <f t="shared" si="1"/>
        <v/>
      </c>
      <c r="W28" s="39"/>
      <c r="X28" s="39"/>
      <c r="Y28" s="39" t="str">
        <f t="array" ref="Y28">IF(X28&lt;&gt;"",IFERROR(INDEX($AB$3:$AD$600,MATCH(1,($AB$3:$AB$600=W28)*($AC$3:$AC$600=X28),0),3),"Don’t Exists"),"")</f>
        <v/>
      </c>
      <c r="AA28" s="2" t="str">
        <f t="shared" si="0"/>
        <v/>
      </c>
    </row>
    <row r="29" spans="22:27" x14ac:dyDescent="0.15">
      <c r="V29" s="39" t="str">
        <f t="shared" si="1"/>
        <v/>
      </c>
      <c r="W29" s="39"/>
      <c r="X29" s="39"/>
      <c r="Y29" s="39" t="str">
        <f t="array" ref="Y29">IF(X29&lt;&gt;"",IFERROR(INDEX($AB$3:$AD$600,MATCH(1,($AB$3:$AB$600=W29)*($AC$3:$AC$600=X29),0),3),"Don’t Exists"),"")</f>
        <v/>
      </c>
      <c r="AA29" s="2" t="str">
        <f t="shared" si="0"/>
        <v/>
      </c>
    </row>
    <row r="30" spans="22:27" x14ac:dyDescent="0.15">
      <c r="V30" s="39" t="str">
        <f t="shared" si="1"/>
        <v/>
      </c>
      <c r="W30" s="39"/>
      <c r="X30" s="39"/>
      <c r="Y30" s="39" t="str">
        <f t="array" ref="Y30">IF(X30&lt;&gt;"",IFERROR(INDEX($AB$3:$AD$600,MATCH(1,($AB$3:$AB$600=W30)*($AC$3:$AC$600=X30),0),3),"Don’t Exists"),"")</f>
        <v/>
      </c>
      <c r="AA30" s="2" t="str">
        <f t="shared" si="0"/>
        <v/>
      </c>
    </row>
    <row r="31" spans="22:27" x14ac:dyDescent="0.15">
      <c r="V31" s="39" t="str">
        <f t="shared" si="1"/>
        <v/>
      </c>
      <c r="W31" s="39"/>
      <c r="X31" s="39"/>
      <c r="Y31" s="39" t="str">
        <f t="array" ref="Y31">IF(X31&lt;&gt;"",IFERROR(INDEX($AB$3:$AD$600,MATCH(1,($AB$3:$AB$600=W31)*($AC$3:$AC$600=X31),0),3),"Don’t Exists"),"")</f>
        <v/>
      </c>
      <c r="AA31" s="2" t="str">
        <f t="shared" si="0"/>
        <v/>
      </c>
    </row>
    <row r="32" spans="22:27" x14ac:dyDescent="0.15">
      <c r="V32" s="39" t="str">
        <f t="shared" si="1"/>
        <v/>
      </c>
      <c r="W32" s="39"/>
      <c r="X32" s="39"/>
      <c r="Y32" s="39" t="str">
        <f t="array" ref="Y32">IF(X32&lt;&gt;"",IFERROR(INDEX($AB$3:$AD$600,MATCH(1,($AB$3:$AB$600=W32)*($AC$3:$AC$600=X32),0),3),"Don’t Exists"),"")</f>
        <v/>
      </c>
      <c r="AA32" s="2" t="str">
        <f t="shared" si="0"/>
        <v/>
      </c>
    </row>
    <row r="33" spans="22:27" x14ac:dyDescent="0.15">
      <c r="V33" s="39" t="str">
        <f t="shared" si="1"/>
        <v/>
      </c>
      <c r="W33" s="39"/>
      <c r="X33" s="39"/>
      <c r="Y33" s="39" t="str">
        <f t="array" ref="Y33">IF(X33&lt;&gt;"",IFERROR(INDEX($AB$3:$AD$600,MATCH(1,($AB$3:$AB$600=W33)*($AC$3:$AC$600=X33),0),3),"Don’t Exists"),"")</f>
        <v/>
      </c>
      <c r="AA33" s="2" t="str">
        <f t="shared" si="0"/>
        <v/>
      </c>
    </row>
    <row r="34" spans="22:27" x14ac:dyDescent="0.15">
      <c r="V34" s="39" t="str">
        <f t="shared" si="1"/>
        <v/>
      </c>
      <c r="W34" s="39"/>
      <c r="X34" s="39"/>
      <c r="Y34" s="39" t="str">
        <f t="array" ref="Y34">IF(X34&lt;&gt;"",IFERROR(INDEX($AB$3:$AD$600,MATCH(1,($AB$3:$AB$600=W34)*($AC$3:$AC$600=X34),0),3),"Don’t Exists"),"")</f>
        <v/>
      </c>
      <c r="AA34" s="2" t="str">
        <f t="shared" si="0"/>
        <v/>
      </c>
    </row>
    <row r="35" spans="22:27" x14ac:dyDescent="0.15">
      <c r="V35" s="2" t="str">
        <f t="shared" si="1"/>
        <v/>
      </c>
      <c r="Y35" s="2" t="str">
        <f t="array" ref="Y35">IF(X35&lt;&gt;"",IFERROR(INDEX($AB$3:$AD$600,MATCH(1,($AB$3:$AB$600=W35)*($AC$3:$AC$600=X35),0),3),"Don’t Exists"),"")</f>
        <v/>
      </c>
      <c r="AA35" s="2" t="str">
        <f t="shared" si="0"/>
        <v/>
      </c>
    </row>
    <row r="36" spans="22:27" x14ac:dyDescent="0.15">
      <c r="V36" s="2" t="str">
        <f t="shared" si="1"/>
        <v/>
      </c>
      <c r="Y36" s="2" t="str">
        <f t="array" ref="Y36">IF(X36&lt;&gt;"",IFERROR(INDEX($AB$3:$AD$600,MATCH(1,($AB$3:$AB$600=W36)*($AC$3:$AC$600=X36),0),3),"Don’t Exists"),"")</f>
        <v/>
      </c>
      <c r="AA36" s="2" t="str">
        <f t="shared" si="0"/>
        <v/>
      </c>
    </row>
    <row r="37" spans="22:27" x14ac:dyDescent="0.15">
      <c r="V37" s="2" t="str">
        <f t="shared" si="1"/>
        <v/>
      </c>
      <c r="Y37" s="2" t="str">
        <f t="array" ref="Y37">IF(X37&lt;&gt;"",IFERROR(INDEX($AB$3:$AD$600,MATCH(1,($AB$3:$AB$600=W37)*($AC$3:$AC$600=X37),0),3),"Don’t Exists"),"")</f>
        <v/>
      </c>
      <c r="AA37" s="2" t="str">
        <f t="shared" si="0"/>
        <v/>
      </c>
    </row>
    <row r="38" spans="22:27" x14ac:dyDescent="0.15">
      <c r="V38" s="2" t="str">
        <f t="shared" si="1"/>
        <v/>
      </c>
      <c r="Y38" s="2" t="str">
        <f t="array" ref="Y38">IF(X38&lt;&gt;"",IFERROR(INDEX($AB$3:$AD$600,MATCH(1,($AB$3:$AB$600=W38)*($AC$3:$AC$600=X38),0),3),"Don’t Exists"),"")</f>
        <v/>
      </c>
      <c r="AA38" s="2" t="str">
        <f t="shared" si="0"/>
        <v/>
      </c>
    </row>
    <row r="39" spans="22:27" x14ac:dyDescent="0.15">
      <c r="V39" s="2" t="str">
        <f t="shared" si="1"/>
        <v/>
      </c>
      <c r="Y39" s="2" t="str">
        <f t="array" ref="Y39">IF(X39&lt;&gt;"",IFERROR(INDEX($AB$3:$AD$600,MATCH(1,($AB$3:$AB$600=W39)*($AC$3:$AC$600=X39),0),3),"Don’t Exists"),"")</f>
        <v/>
      </c>
      <c r="AA39" s="2" t="str">
        <f t="shared" si="0"/>
        <v/>
      </c>
    </row>
    <row r="40" spans="22:27" x14ac:dyDescent="0.15">
      <c r="V40" s="2" t="str">
        <f t="shared" si="1"/>
        <v/>
      </c>
      <c r="Y40" s="2" t="str">
        <f t="array" ref="Y40">IF(X40&lt;&gt;"",IFERROR(INDEX($AB$3:$AD$600,MATCH(1,($AB$3:$AB$600=W40)*($AC$3:$AC$600=X40),0),3),"Don’t Exists"),"")</f>
        <v/>
      </c>
      <c r="AA40" s="2" t="str">
        <f t="shared" si="0"/>
        <v/>
      </c>
    </row>
    <row r="41" spans="22:27" x14ac:dyDescent="0.15">
      <c r="V41" s="2" t="str">
        <f t="shared" si="1"/>
        <v/>
      </c>
      <c r="Y41" s="2" t="str">
        <f t="array" ref="Y41">IF(X41&lt;&gt;"",IFERROR(INDEX($AB$3:$AD$600,MATCH(1,($AB$3:$AB$600=W41)*($AC$3:$AC$600=X41),0),3),"Don’t Exists"),"")</f>
        <v/>
      </c>
      <c r="AA41" s="2" t="str">
        <f t="shared" si="0"/>
        <v/>
      </c>
    </row>
    <row r="42" spans="22:27" x14ac:dyDescent="0.15">
      <c r="V42" s="2" t="str">
        <f t="shared" si="1"/>
        <v/>
      </c>
      <c r="Y42" s="2" t="str">
        <f t="array" ref="Y42">IF(X42&lt;&gt;"",IFERROR(INDEX($AB$3:$AD$600,MATCH(1,($AB$3:$AB$600=W42)*($AC$3:$AC$600=X42),0),3),"Don’t Exists"),"")</f>
        <v/>
      </c>
      <c r="AA42" s="2" t="str">
        <f t="shared" si="0"/>
        <v/>
      </c>
    </row>
    <row r="43" spans="22:27" x14ac:dyDescent="0.15">
      <c r="V43" s="2" t="str">
        <f t="shared" si="1"/>
        <v/>
      </c>
      <c r="Y43" s="2" t="str">
        <f t="array" ref="Y43">IF(X43&lt;&gt;"",IFERROR(INDEX($AB$3:$AD$600,MATCH(1,($AB$3:$AB$600=W43)*($AC$3:$AC$600=X43),0),3),"Don’t Exists"),"")</f>
        <v/>
      </c>
      <c r="AA43" s="2" t="str">
        <f t="shared" si="0"/>
        <v/>
      </c>
    </row>
    <row r="44" spans="22:27" x14ac:dyDescent="0.15">
      <c r="V44" s="2" t="str">
        <f t="shared" si="1"/>
        <v/>
      </c>
      <c r="Y44" s="2" t="str">
        <f t="array" ref="Y44">IF(X44&lt;&gt;"",IFERROR(INDEX($AB$3:$AD$600,MATCH(1,($AB$3:$AB$600=W44)*($AC$3:$AC$600=X44),0),3),"Don’t Exists"),"")</f>
        <v/>
      </c>
      <c r="AA44" s="2" t="str">
        <f t="shared" si="0"/>
        <v/>
      </c>
    </row>
    <row r="45" spans="22:27" x14ac:dyDescent="0.15">
      <c r="V45" s="2" t="str">
        <f t="shared" si="1"/>
        <v/>
      </c>
      <c r="Y45" s="2" t="str">
        <f t="array" ref="Y45">IF(X45&lt;&gt;"",IFERROR(INDEX($AB$3:$AD$600,MATCH(1,($AB$3:$AB$600=W45)*($AC$3:$AC$600=X45),0),3),"Don’t Exists"),"")</f>
        <v/>
      </c>
      <c r="AA45" s="2" t="str">
        <f t="shared" si="0"/>
        <v/>
      </c>
    </row>
    <row r="46" spans="22:27" x14ac:dyDescent="0.15">
      <c r="V46" s="2" t="str">
        <f t="shared" si="1"/>
        <v/>
      </c>
      <c r="Y46" s="2" t="str">
        <f t="array" ref="Y46">IF(X46&lt;&gt;"",IFERROR(INDEX($AB$3:$AD$600,MATCH(1,($AB$3:$AB$600=W46)*($AC$3:$AC$600=X46),0),3),"Don’t Exists"),"")</f>
        <v/>
      </c>
      <c r="AA46" s="2" t="str">
        <f t="shared" si="0"/>
        <v/>
      </c>
    </row>
    <row r="47" spans="22:27" x14ac:dyDescent="0.15">
      <c r="V47" s="2" t="str">
        <f t="shared" si="1"/>
        <v/>
      </c>
      <c r="Y47" s="2" t="str">
        <f t="array" ref="Y47">IF(X47&lt;&gt;"",IFERROR(INDEX($AB$3:$AD$600,MATCH(1,($AB$3:$AB$600=W47)*($AC$3:$AC$600=X47),0),3),"Don’t Exists"),"")</f>
        <v/>
      </c>
      <c r="AA47" s="2" t="str">
        <f t="shared" si="0"/>
        <v/>
      </c>
    </row>
    <row r="48" spans="22:27" x14ac:dyDescent="0.15">
      <c r="V48" s="2" t="str">
        <f t="shared" si="1"/>
        <v/>
      </c>
      <c r="Y48" s="2" t="str">
        <f t="array" ref="Y48">IF(X48&lt;&gt;"",IFERROR(INDEX($AB$3:$AD$600,MATCH(1,($AB$3:$AB$600=W48)*($AC$3:$AC$600=X48),0),3),"Don’t Exists"),"")</f>
        <v/>
      </c>
      <c r="AA48" s="2" t="str">
        <f t="shared" si="0"/>
        <v/>
      </c>
    </row>
    <row r="49" spans="22:27" x14ac:dyDescent="0.15">
      <c r="V49" s="2" t="str">
        <f t="shared" si="1"/>
        <v/>
      </c>
      <c r="Y49" s="2" t="str">
        <f t="array" ref="Y49">IF(X49&lt;&gt;"",IFERROR(INDEX($AB$3:$AD$600,MATCH(1,($AB$3:$AB$600=W49)*($AC$3:$AC$600=X49),0),3),"Don’t Exists"),"")</f>
        <v/>
      </c>
      <c r="AA49" s="2" t="str">
        <f t="shared" si="0"/>
        <v/>
      </c>
    </row>
    <row r="50" spans="22:27" x14ac:dyDescent="0.15">
      <c r="V50" s="2" t="str">
        <f t="shared" si="1"/>
        <v/>
      </c>
      <c r="Y50" s="2" t="str">
        <f t="array" ref="Y50">IF(X50&lt;&gt;"",IFERROR(INDEX($AB$3:$AD$600,MATCH(1,($AB$3:$AB$600=W50)*($AC$3:$AC$600=X50),0),3),"Don’t Exists"),"")</f>
        <v/>
      </c>
      <c r="AA50" s="2" t="str">
        <f t="shared" si="0"/>
        <v/>
      </c>
    </row>
    <row r="51" spans="22:27" x14ac:dyDescent="0.15">
      <c r="V51" s="2" t="str">
        <f t="shared" si="1"/>
        <v/>
      </c>
      <c r="Y51" s="2" t="str">
        <f t="array" ref="Y51">IF(X51&lt;&gt;"",IFERROR(INDEX($AB$3:$AD$600,MATCH(1,($AB$3:$AB$600=W51)*($AC$3:$AC$600=X51),0),3),"Don’t Exists"),"")</f>
        <v/>
      </c>
      <c r="AA51" s="2" t="str">
        <f t="shared" si="0"/>
        <v/>
      </c>
    </row>
    <row r="52" spans="22:27" x14ac:dyDescent="0.15">
      <c r="V52" s="2" t="str">
        <f t="shared" si="1"/>
        <v/>
      </c>
      <c r="Y52" s="2" t="str">
        <f t="array" ref="Y52">IF(X52&lt;&gt;"",IFERROR(INDEX($AB$3:$AD$600,MATCH(1,($AB$3:$AB$600=W52)*($AC$3:$AC$600=X52),0),3),"Don’t Exists"),"")</f>
        <v/>
      </c>
      <c r="AA52" s="2" t="str">
        <f t="shared" si="0"/>
        <v/>
      </c>
    </row>
    <row r="53" spans="22:27" x14ac:dyDescent="0.15">
      <c r="V53" s="2" t="str">
        <f t="shared" si="1"/>
        <v/>
      </c>
      <c r="Y53" s="2" t="str">
        <f t="array" ref="Y53">IF(X53&lt;&gt;"",IFERROR(INDEX($AB$3:$AD$600,MATCH(1,($AB$3:$AB$600=W53)*($AC$3:$AC$600=X53),0),3),"Don’t Exists"),"")</f>
        <v/>
      </c>
      <c r="AA53" s="2" t="str">
        <f t="shared" si="0"/>
        <v/>
      </c>
    </row>
    <row r="54" spans="22:27" x14ac:dyDescent="0.15">
      <c r="V54" s="2" t="str">
        <f t="shared" si="1"/>
        <v/>
      </c>
      <c r="Y54" s="2" t="str">
        <f t="array" ref="Y54">IF(X54&lt;&gt;"",IFERROR(INDEX($AB$3:$AD$600,MATCH(1,($AB$3:$AB$600=W54)*($AC$3:$AC$600=X54),0),3),"Don’t Exists"),"")</f>
        <v/>
      </c>
      <c r="AA54" s="2" t="str">
        <f t="shared" si="0"/>
        <v/>
      </c>
    </row>
    <row r="55" spans="22:27" x14ac:dyDescent="0.15">
      <c r="V55" s="2" t="str">
        <f t="shared" si="1"/>
        <v/>
      </c>
      <c r="Y55" s="2" t="str">
        <f t="array" ref="Y55">IF(X55&lt;&gt;"",IFERROR(INDEX($AB$3:$AD$600,MATCH(1,($AB$3:$AB$600=W55)*($AC$3:$AC$600=X55),0),3),"Don’t Exists"),"")</f>
        <v/>
      </c>
      <c r="AA55" s="2" t="str">
        <f t="shared" si="0"/>
        <v/>
      </c>
    </row>
    <row r="56" spans="22:27" x14ac:dyDescent="0.15">
      <c r="V56" s="2" t="str">
        <f t="shared" si="1"/>
        <v/>
      </c>
      <c r="Y56" s="2" t="str">
        <f t="array" ref="Y56">IF(X56&lt;&gt;"",IFERROR(INDEX($AB$3:$AD$600,MATCH(1,($AB$3:$AB$600=W56)*($AC$3:$AC$600=X56),0),3),"Don’t Exists"),"")</f>
        <v/>
      </c>
      <c r="AA56" s="2" t="str">
        <f t="shared" si="0"/>
        <v/>
      </c>
    </row>
    <row r="57" spans="22:27" x14ac:dyDescent="0.15">
      <c r="V57" s="2" t="str">
        <f t="shared" si="1"/>
        <v/>
      </c>
      <c r="Y57" s="2" t="str">
        <f t="array" ref="Y57">IF(X57&lt;&gt;"",IFERROR(INDEX($AB$3:$AD$600,MATCH(1,($AB$3:$AB$600=W57)*($AC$3:$AC$600=X57),0),3),"Don’t Exists"),"")</f>
        <v/>
      </c>
      <c r="AA57" s="2" t="str">
        <f t="shared" si="0"/>
        <v/>
      </c>
    </row>
    <row r="58" spans="22:27" x14ac:dyDescent="0.15">
      <c r="V58" s="2" t="str">
        <f t="shared" si="1"/>
        <v/>
      </c>
      <c r="Y58" s="2" t="str">
        <f t="array" ref="Y58">IF(X58&lt;&gt;"",IFERROR(INDEX($AB$3:$AD$600,MATCH(1,($AB$3:$AB$600=W58)*($AC$3:$AC$600=X58),0),3),"Don’t Exists"),"")</f>
        <v/>
      </c>
      <c r="AA58" s="2" t="str">
        <f t="shared" si="0"/>
        <v/>
      </c>
    </row>
    <row r="59" spans="22:27" x14ac:dyDescent="0.15">
      <c r="V59" s="2" t="str">
        <f t="shared" si="1"/>
        <v/>
      </c>
      <c r="Y59" s="2" t="str">
        <f t="array" ref="Y59">IF(X59&lt;&gt;"",IFERROR(INDEX($AB$3:$AD$600,MATCH(1,($AB$3:$AB$600=W59)*($AC$3:$AC$600=X59),0),3),"Don’t Exists"),"")</f>
        <v/>
      </c>
      <c r="AA59" s="2" t="str">
        <f t="shared" si="0"/>
        <v/>
      </c>
    </row>
    <row r="60" spans="22:27" x14ac:dyDescent="0.15">
      <c r="V60" s="2" t="str">
        <f t="shared" si="1"/>
        <v/>
      </c>
      <c r="Y60" s="2" t="str">
        <f t="array" ref="Y60">IF(X60&lt;&gt;"",IFERROR(INDEX($AB$3:$AD$600,MATCH(1,($AB$3:$AB$600=W60)*($AC$3:$AC$600=X60),0),3),"Don’t Exists"),"")</f>
        <v/>
      </c>
      <c r="AA60" s="2" t="str">
        <f t="shared" si="0"/>
        <v/>
      </c>
    </row>
    <row r="61" spans="22:27" x14ac:dyDescent="0.15">
      <c r="V61" s="2" t="str">
        <f t="shared" si="1"/>
        <v/>
      </c>
      <c r="Y61" s="2" t="str">
        <f t="array" ref="Y61">IF(X61&lt;&gt;"",IFERROR(INDEX($AB$3:$AD$600,MATCH(1,($AB$3:$AB$600=W61)*($AC$3:$AC$600=X61),0),3),"Don’t Exists"),"")</f>
        <v/>
      </c>
      <c r="AA61" s="2" t="str">
        <f t="shared" si="0"/>
        <v/>
      </c>
    </row>
    <row r="62" spans="22:27" x14ac:dyDescent="0.15">
      <c r="V62" s="2" t="str">
        <f t="shared" si="1"/>
        <v/>
      </c>
      <c r="Y62" s="2" t="str">
        <f t="array" ref="Y62">IF(X62&lt;&gt;"",IFERROR(INDEX($AB$3:$AD$600,MATCH(1,($AB$3:$AB$600=W62)*($AC$3:$AC$600=X62),0),3),"Don’t Exists"),"")</f>
        <v/>
      </c>
      <c r="AA62" s="2" t="str">
        <f t="shared" si="0"/>
        <v/>
      </c>
    </row>
    <row r="63" spans="22:27" x14ac:dyDescent="0.15">
      <c r="V63" s="2" t="str">
        <f t="shared" si="1"/>
        <v/>
      </c>
      <c r="Y63" s="2" t="str">
        <f t="array" ref="Y63">IF(X63&lt;&gt;"",IFERROR(INDEX($AB$3:$AD$600,MATCH(1,($AB$3:$AB$600=W63)*($AC$3:$AC$600=X63),0),3),"Don’t Exists"),"")</f>
        <v/>
      </c>
      <c r="AA63" s="2" t="str">
        <f t="shared" si="0"/>
        <v/>
      </c>
    </row>
    <row r="64" spans="22:27" x14ac:dyDescent="0.15">
      <c r="V64" s="2" t="str">
        <f t="shared" si="1"/>
        <v/>
      </c>
      <c r="Y64" s="2" t="str">
        <f t="array" ref="Y64">IF(X64&lt;&gt;"",IFERROR(INDEX($AB$3:$AD$600,MATCH(1,($AB$3:$AB$600=W64)*($AC$3:$AC$600=X64),0),3),"Don’t Exists"),"")</f>
        <v/>
      </c>
      <c r="AA64" s="2" t="str">
        <f t="shared" si="0"/>
        <v/>
      </c>
    </row>
    <row r="65" spans="22:27" x14ac:dyDescent="0.15">
      <c r="V65" s="2" t="str">
        <f t="shared" si="1"/>
        <v/>
      </c>
      <c r="Y65" s="2" t="str">
        <f t="array" ref="Y65">IF(X65&lt;&gt;"",IFERROR(INDEX($AB$3:$AD$600,MATCH(1,($AB$3:$AB$600=W65)*($AC$3:$AC$600=X65),0),3),"Don’t Exists"),"")</f>
        <v/>
      </c>
      <c r="AA65" s="2" t="str">
        <f t="shared" si="0"/>
        <v/>
      </c>
    </row>
    <row r="66" spans="22:27" x14ac:dyDescent="0.15">
      <c r="V66" s="2" t="str">
        <f t="shared" si="1"/>
        <v/>
      </c>
      <c r="Y66" s="2" t="str">
        <f t="array" ref="Y66">IF(X66&lt;&gt;"",IFERROR(INDEX($AB$3:$AD$600,MATCH(1,($AB$3:$AB$600=W66)*($AC$3:$AC$600=X66),0),3),"Don’t Exists"),"")</f>
        <v/>
      </c>
      <c r="AA66" s="2" t="str">
        <f t="shared" si="0"/>
        <v/>
      </c>
    </row>
    <row r="67" spans="22:27" x14ac:dyDescent="0.15">
      <c r="V67" s="2" t="str">
        <f t="shared" si="1"/>
        <v/>
      </c>
      <c r="Y67" s="2" t="str">
        <f t="array" ref="Y67">IF(X67&lt;&gt;"",IFERROR(INDEX($AB$3:$AD$600,MATCH(1,($AB$3:$AB$600=W67)*($AC$3:$AC$600=X67),0),3),"Don’t Exists"),"")</f>
        <v/>
      </c>
      <c r="AA67" s="2" t="str">
        <f t="shared" si="0"/>
        <v/>
      </c>
    </row>
    <row r="68" spans="22:27" x14ac:dyDescent="0.15">
      <c r="V68" s="2" t="str">
        <f t="shared" si="1"/>
        <v/>
      </c>
      <c r="Y68" s="2" t="str">
        <f t="array" ref="Y68">IF(X68&lt;&gt;"",IFERROR(INDEX($AB$3:$AD$600,MATCH(1,($AB$3:$AB$600=W68)*($AC$3:$AC$600=X68),0),3),"Don’t Exists"),"")</f>
        <v/>
      </c>
      <c r="AA68" s="2" t="str">
        <f t="shared" ref="AA68:AA131" si="2">IF(AC68&lt;&gt;"",ROW()-2,"")</f>
        <v/>
      </c>
    </row>
    <row r="69" spans="22:27" x14ac:dyDescent="0.15">
      <c r="V69" s="2" t="str">
        <f t="shared" si="1"/>
        <v/>
      </c>
      <c r="Y69" s="2" t="str">
        <f t="array" ref="Y69">IF(X69&lt;&gt;"",IFERROR(INDEX($AB$3:$AD$600,MATCH(1,($AB$3:$AB$600=W69)*($AC$3:$AC$600=X69),0),3),"Don’t Exists"),"")</f>
        <v/>
      </c>
      <c r="AA69" s="2" t="str">
        <f t="shared" si="2"/>
        <v/>
      </c>
    </row>
    <row r="70" spans="22:27" x14ac:dyDescent="0.15">
      <c r="V70" s="2" t="str">
        <f t="shared" si="1"/>
        <v/>
      </c>
      <c r="Y70" s="2" t="str">
        <f t="array" ref="Y70">IF(X70&lt;&gt;"",IFERROR(INDEX($AB$3:$AD$600,MATCH(1,($AB$3:$AB$600=W70)*($AC$3:$AC$600=X70),0),3),"Don’t Exists"),"")</f>
        <v/>
      </c>
      <c r="AA70" s="2" t="str">
        <f t="shared" si="2"/>
        <v/>
      </c>
    </row>
    <row r="71" spans="22:27" x14ac:dyDescent="0.15">
      <c r="V71" s="2" t="str">
        <f t="shared" si="1"/>
        <v/>
      </c>
      <c r="Y71" s="2" t="str">
        <f t="array" ref="Y71">IF(X71&lt;&gt;"",IFERROR(INDEX($AB$3:$AD$600,MATCH(1,($AB$3:$AB$600=W71)*($AC$3:$AC$600=X71),0),3),"Don’t Exists"),"")</f>
        <v/>
      </c>
      <c r="AA71" s="2" t="str">
        <f t="shared" si="2"/>
        <v/>
      </c>
    </row>
    <row r="72" spans="22:27" x14ac:dyDescent="0.15">
      <c r="V72" s="2" t="str">
        <f t="shared" si="1"/>
        <v/>
      </c>
      <c r="Y72" s="2" t="str">
        <f t="array" ref="Y72">IF(X72&lt;&gt;"",IFERROR(INDEX($AB$3:$AD$600,MATCH(1,($AB$3:$AB$600=W72)*($AC$3:$AC$600=X72),0),3),"Don’t Exists"),"")</f>
        <v/>
      </c>
      <c r="AA72" s="2" t="str">
        <f t="shared" si="2"/>
        <v/>
      </c>
    </row>
    <row r="73" spans="22:27" x14ac:dyDescent="0.15">
      <c r="V73" s="2" t="str">
        <f t="shared" si="1"/>
        <v/>
      </c>
      <c r="Y73" s="2" t="str">
        <f t="array" ref="Y73">IF(X73&lt;&gt;"",IFERROR(INDEX($AB$3:$AD$600,MATCH(1,($AB$3:$AB$600=W73)*($AC$3:$AC$600=X73),0),3),"Don’t Exists"),"")</f>
        <v/>
      </c>
      <c r="AA73" s="2" t="str">
        <f t="shared" si="2"/>
        <v/>
      </c>
    </row>
    <row r="74" spans="22:27" x14ac:dyDescent="0.15">
      <c r="V74" s="2" t="str">
        <f t="shared" si="1"/>
        <v/>
      </c>
      <c r="Y74" s="2" t="str">
        <f t="array" ref="Y74">IF(X74&lt;&gt;"",IFERROR(INDEX($AB$3:$AD$600,MATCH(1,($AB$3:$AB$600=W74)*($AC$3:$AC$600=X74),0),3),"Don’t Exists"),"")</f>
        <v/>
      </c>
      <c r="AA74" s="2" t="str">
        <f t="shared" si="2"/>
        <v/>
      </c>
    </row>
    <row r="75" spans="22:27" x14ac:dyDescent="0.15">
      <c r="V75" s="2" t="str">
        <f t="shared" si="1"/>
        <v/>
      </c>
      <c r="Y75" s="2" t="str">
        <f t="array" ref="Y75">IF(X75&lt;&gt;"",IFERROR(INDEX($AB$3:$AD$600,MATCH(1,($AB$3:$AB$600=W75)*($AC$3:$AC$600=X75),0),3),"Don’t Exists"),"")</f>
        <v/>
      </c>
      <c r="AA75" s="2" t="str">
        <f t="shared" si="2"/>
        <v/>
      </c>
    </row>
    <row r="76" spans="22:27" x14ac:dyDescent="0.15">
      <c r="V76" s="2" t="str">
        <f t="shared" si="1"/>
        <v/>
      </c>
      <c r="Y76" s="2" t="str">
        <f t="array" ref="Y76">IF(X76&lt;&gt;"",IFERROR(INDEX($AB$3:$AD$600,MATCH(1,($AB$3:$AB$600=W76)*($AC$3:$AC$600=X76),0),3),"Don’t Exists"),"")</f>
        <v/>
      </c>
      <c r="AA76" s="2" t="str">
        <f t="shared" si="2"/>
        <v/>
      </c>
    </row>
    <row r="77" spans="22:27" x14ac:dyDescent="0.15">
      <c r="V77" s="2" t="str">
        <f t="shared" ref="V77:V140" si="3">IF(X77&lt;&gt;"",ROW()-ROW(V$11),"")</f>
        <v/>
      </c>
      <c r="Y77" s="2" t="str">
        <f t="array" ref="Y77">IF(X77&lt;&gt;"",IFERROR(INDEX($AB$3:$AD$600,MATCH(1,($AB$3:$AB$600=W77)*($AC$3:$AC$600=X77),0),3),"Don’t Exists"),"")</f>
        <v/>
      </c>
      <c r="AA77" s="2" t="str">
        <f t="shared" si="2"/>
        <v/>
      </c>
    </row>
    <row r="78" spans="22:27" x14ac:dyDescent="0.15">
      <c r="V78" s="2" t="str">
        <f t="shared" si="3"/>
        <v/>
      </c>
      <c r="Y78" s="2" t="str">
        <f t="array" ref="Y78">IF(X78&lt;&gt;"",IFERROR(INDEX($AB$3:$AD$600,MATCH(1,($AB$3:$AB$600=W78)*($AC$3:$AC$600=X78),0),3),"Don’t Exists"),"")</f>
        <v/>
      </c>
      <c r="AA78" s="2" t="str">
        <f t="shared" si="2"/>
        <v/>
      </c>
    </row>
    <row r="79" spans="22:27" x14ac:dyDescent="0.15">
      <c r="V79" s="2" t="str">
        <f t="shared" si="3"/>
        <v/>
      </c>
      <c r="Y79" s="2" t="str">
        <f t="array" ref="Y79">IF(X79&lt;&gt;"",IFERROR(INDEX($AB$3:$AD$600,MATCH(1,($AB$3:$AB$600=W79)*($AC$3:$AC$600=X79),0),3),"Don’t Exists"),"")</f>
        <v/>
      </c>
      <c r="AA79" s="2" t="str">
        <f t="shared" si="2"/>
        <v/>
      </c>
    </row>
    <row r="80" spans="22:27" x14ac:dyDescent="0.15">
      <c r="V80" s="2" t="str">
        <f t="shared" si="3"/>
        <v/>
      </c>
      <c r="Y80" s="2" t="str">
        <f t="array" ref="Y80">IF(X80&lt;&gt;"",IFERROR(INDEX($AB$3:$AD$600,MATCH(1,($AB$3:$AB$600=W80)*($AC$3:$AC$600=X80),0),3),"Don’t Exists"),"")</f>
        <v/>
      </c>
      <c r="AA80" s="2" t="str">
        <f t="shared" si="2"/>
        <v/>
      </c>
    </row>
    <row r="81" spans="22:27" x14ac:dyDescent="0.15">
      <c r="V81" s="2" t="str">
        <f t="shared" si="3"/>
        <v/>
      </c>
      <c r="Y81" s="2" t="str">
        <f t="array" ref="Y81">IF(X81&lt;&gt;"",IFERROR(INDEX($AB$3:$AD$600,MATCH(1,($AB$3:$AB$600=W81)*($AC$3:$AC$600=X81),0),3),"Don’t Exists"),"")</f>
        <v/>
      </c>
      <c r="AA81" s="2" t="str">
        <f t="shared" si="2"/>
        <v/>
      </c>
    </row>
    <row r="82" spans="22:27" x14ac:dyDescent="0.15">
      <c r="V82" s="2" t="str">
        <f t="shared" si="3"/>
        <v/>
      </c>
      <c r="Y82" s="2" t="str">
        <f t="array" ref="Y82">IF(X82&lt;&gt;"",IFERROR(INDEX($AB$3:$AD$600,MATCH(1,($AB$3:$AB$600=W82)*($AC$3:$AC$600=X82),0),3),"Don’t Exists"),"")</f>
        <v/>
      </c>
      <c r="AA82" s="2" t="str">
        <f t="shared" si="2"/>
        <v/>
      </c>
    </row>
    <row r="83" spans="22:27" x14ac:dyDescent="0.15">
      <c r="V83" s="2" t="str">
        <f t="shared" si="3"/>
        <v/>
      </c>
      <c r="Y83" s="2" t="str">
        <f t="array" ref="Y83">IF(X83&lt;&gt;"",IFERROR(INDEX($AB$3:$AD$600,MATCH(1,($AB$3:$AB$600=W83)*($AC$3:$AC$600=X83),0),3),"Don’t Exists"),"")</f>
        <v/>
      </c>
      <c r="AA83" s="2" t="str">
        <f t="shared" si="2"/>
        <v/>
      </c>
    </row>
    <row r="84" spans="22:27" x14ac:dyDescent="0.15">
      <c r="V84" s="2" t="str">
        <f t="shared" si="3"/>
        <v/>
      </c>
      <c r="Y84" s="2" t="str">
        <f t="array" ref="Y84">IF(X84&lt;&gt;"",IFERROR(INDEX($AB$3:$AD$600,MATCH(1,($AB$3:$AB$600=W84)*($AC$3:$AC$600=X84),0),3),"Don’t Exists"),"")</f>
        <v/>
      </c>
      <c r="AA84" s="2" t="str">
        <f t="shared" si="2"/>
        <v/>
      </c>
    </row>
    <row r="85" spans="22:27" x14ac:dyDescent="0.15">
      <c r="V85" s="2" t="str">
        <f t="shared" si="3"/>
        <v/>
      </c>
      <c r="Y85" s="2" t="str">
        <f t="array" ref="Y85">IF(X85&lt;&gt;"",IFERROR(INDEX($AB$3:$AD$600,MATCH(1,($AB$3:$AB$600=W85)*($AC$3:$AC$600=X85),0),3),"Don’t Exists"),"")</f>
        <v/>
      </c>
      <c r="AA85" s="2" t="str">
        <f t="shared" si="2"/>
        <v/>
      </c>
    </row>
    <row r="86" spans="22:27" x14ac:dyDescent="0.15">
      <c r="V86" s="2" t="str">
        <f t="shared" si="3"/>
        <v/>
      </c>
      <c r="Y86" s="2" t="str">
        <f t="array" ref="Y86">IF(X86&lt;&gt;"",IFERROR(INDEX($AB$3:$AD$600,MATCH(1,($AB$3:$AB$600=W86)*($AC$3:$AC$600=X86),0),3),"Don’t Exists"),"")</f>
        <v/>
      </c>
      <c r="AA86" s="2" t="str">
        <f t="shared" si="2"/>
        <v/>
      </c>
    </row>
    <row r="87" spans="22:27" x14ac:dyDescent="0.15">
      <c r="V87" s="2" t="str">
        <f t="shared" si="3"/>
        <v/>
      </c>
      <c r="Y87" s="2" t="str">
        <f t="array" ref="Y87">IF(X87&lt;&gt;"",IFERROR(INDEX($AB$3:$AD$600,MATCH(1,($AB$3:$AB$600=W87)*($AC$3:$AC$600=X87),0),3),"Don’t Exists"),"")</f>
        <v/>
      </c>
      <c r="AA87" s="2" t="str">
        <f t="shared" si="2"/>
        <v/>
      </c>
    </row>
    <row r="88" spans="22:27" x14ac:dyDescent="0.15">
      <c r="V88" s="2" t="str">
        <f t="shared" si="3"/>
        <v/>
      </c>
      <c r="Y88" s="2" t="str">
        <f t="array" ref="Y88">IF(X88&lt;&gt;"",IFERROR(INDEX($AB$3:$AD$600,MATCH(1,($AB$3:$AB$600=W88)*($AC$3:$AC$600=X88),0),3),"Don’t Exists"),"")</f>
        <v/>
      </c>
      <c r="AA88" s="2" t="str">
        <f t="shared" si="2"/>
        <v/>
      </c>
    </row>
    <row r="89" spans="22:27" x14ac:dyDescent="0.15">
      <c r="V89" s="2" t="str">
        <f t="shared" si="3"/>
        <v/>
      </c>
      <c r="Y89" s="2" t="str">
        <f t="array" ref="Y89">IF(X89&lt;&gt;"",IFERROR(INDEX($AB$3:$AD$600,MATCH(1,($AB$3:$AB$600=W89)*($AC$3:$AC$600=X89),0),3),"Don’t Exists"),"")</f>
        <v/>
      </c>
      <c r="AA89" s="2" t="str">
        <f t="shared" si="2"/>
        <v/>
      </c>
    </row>
    <row r="90" spans="22:27" x14ac:dyDescent="0.15">
      <c r="V90" s="2" t="str">
        <f t="shared" si="3"/>
        <v/>
      </c>
      <c r="Y90" s="2" t="str">
        <f t="array" ref="Y90">IF(X90&lt;&gt;"",IFERROR(INDEX($AB$3:$AD$600,MATCH(1,($AB$3:$AB$600=W90)*($AC$3:$AC$600=X90),0),3),"Don’t Exists"),"")</f>
        <v/>
      </c>
      <c r="AA90" s="2" t="str">
        <f t="shared" si="2"/>
        <v/>
      </c>
    </row>
    <row r="91" spans="22:27" x14ac:dyDescent="0.15">
      <c r="V91" s="2" t="str">
        <f t="shared" si="3"/>
        <v/>
      </c>
      <c r="Y91" s="2" t="str">
        <f t="array" ref="Y91">IF(X91&lt;&gt;"",IFERROR(INDEX($AB$3:$AD$600,MATCH(1,($AB$3:$AB$600=W91)*($AC$3:$AC$600=X91),0),3),"Don’t Exists"),"")</f>
        <v/>
      </c>
      <c r="AA91" s="2" t="str">
        <f t="shared" si="2"/>
        <v/>
      </c>
    </row>
    <row r="92" spans="22:27" x14ac:dyDescent="0.15">
      <c r="V92" s="2" t="str">
        <f t="shared" si="3"/>
        <v/>
      </c>
      <c r="Y92" s="2" t="str">
        <f t="array" ref="Y92">IF(X92&lt;&gt;"",IFERROR(INDEX($AB$3:$AD$600,MATCH(1,($AB$3:$AB$600=W92)*($AC$3:$AC$600=X92),0),3),"Don’t Exists"),"")</f>
        <v/>
      </c>
      <c r="AA92" s="2" t="str">
        <f t="shared" si="2"/>
        <v/>
      </c>
    </row>
    <row r="93" spans="22:27" x14ac:dyDescent="0.15">
      <c r="V93" s="2" t="str">
        <f t="shared" si="3"/>
        <v/>
      </c>
      <c r="Y93" s="2" t="str">
        <f t="array" ref="Y93">IF(X93&lt;&gt;"",IFERROR(INDEX($AB$3:$AD$600,MATCH(1,($AB$3:$AB$600=W93)*($AC$3:$AC$600=X93),0),3),"Don’t Exists"),"")</f>
        <v/>
      </c>
      <c r="AA93" s="2" t="str">
        <f t="shared" si="2"/>
        <v/>
      </c>
    </row>
    <row r="94" spans="22:27" x14ac:dyDescent="0.15">
      <c r="V94" s="2" t="str">
        <f t="shared" si="3"/>
        <v/>
      </c>
      <c r="Y94" s="2" t="str">
        <f t="array" ref="Y94">IF(X94&lt;&gt;"",IFERROR(INDEX($AB$3:$AD$600,MATCH(1,($AB$3:$AB$600=W94)*($AC$3:$AC$600=X94),0),3),"Don’t Exists"),"")</f>
        <v/>
      </c>
      <c r="AA94" s="2" t="str">
        <f t="shared" si="2"/>
        <v/>
      </c>
    </row>
    <row r="95" spans="22:27" x14ac:dyDescent="0.15">
      <c r="V95" s="2" t="str">
        <f t="shared" si="3"/>
        <v/>
      </c>
      <c r="Y95" s="2" t="str">
        <f t="array" ref="Y95">IF(X95&lt;&gt;"",IFERROR(INDEX($AB$3:$AD$600,MATCH(1,($AB$3:$AB$600=W95)*($AC$3:$AC$600=X95),0),3),"Don’t Exists"),"")</f>
        <v/>
      </c>
      <c r="AA95" s="2" t="str">
        <f t="shared" si="2"/>
        <v/>
      </c>
    </row>
    <row r="96" spans="22:27" x14ac:dyDescent="0.15">
      <c r="V96" s="2" t="str">
        <f t="shared" si="3"/>
        <v/>
      </c>
      <c r="Y96" s="2" t="str">
        <f t="array" ref="Y96">IF(X96&lt;&gt;"",IFERROR(INDEX($AB$3:$AD$600,MATCH(1,($AB$3:$AB$600=W96)*($AC$3:$AC$600=X96),0),3),"Don’t Exists"),"")</f>
        <v/>
      </c>
      <c r="AA96" s="2" t="str">
        <f t="shared" si="2"/>
        <v/>
      </c>
    </row>
    <row r="97" spans="22:27" x14ac:dyDescent="0.15">
      <c r="V97" s="2" t="str">
        <f t="shared" si="3"/>
        <v/>
      </c>
      <c r="Y97" s="2" t="str">
        <f t="array" ref="Y97">IF(X97&lt;&gt;"",IFERROR(INDEX($AB$3:$AD$600,MATCH(1,($AB$3:$AB$600=W97)*($AC$3:$AC$600=X97),0),3),"Don’t Exists"),"")</f>
        <v/>
      </c>
      <c r="AA97" s="2" t="str">
        <f t="shared" si="2"/>
        <v/>
      </c>
    </row>
    <row r="98" spans="22:27" x14ac:dyDescent="0.15">
      <c r="V98" s="2" t="str">
        <f t="shared" si="3"/>
        <v/>
      </c>
      <c r="Y98" s="2" t="str">
        <f t="array" ref="Y98">IF(X98&lt;&gt;"",IFERROR(INDEX($AB$3:$AD$600,MATCH(1,($AB$3:$AB$600=W98)*($AC$3:$AC$600=X98),0),3),"Don’t Exists"),"")</f>
        <v/>
      </c>
      <c r="AA98" s="2" t="str">
        <f t="shared" si="2"/>
        <v/>
      </c>
    </row>
    <row r="99" spans="22:27" x14ac:dyDescent="0.15">
      <c r="V99" s="2" t="str">
        <f t="shared" si="3"/>
        <v/>
      </c>
      <c r="Y99" s="2" t="str">
        <f t="array" ref="Y99">IF(X99&lt;&gt;"",IFERROR(INDEX($AB$3:$AD$600,MATCH(1,($AB$3:$AB$600=W99)*($AC$3:$AC$600=X99),0),3),"Don’t Exists"),"")</f>
        <v/>
      </c>
      <c r="AA99" s="2" t="str">
        <f t="shared" si="2"/>
        <v/>
      </c>
    </row>
    <row r="100" spans="22:27" x14ac:dyDescent="0.15">
      <c r="V100" s="2" t="str">
        <f t="shared" si="3"/>
        <v/>
      </c>
      <c r="Y100" s="2" t="str">
        <f t="array" ref="Y100">IF(X100&lt;&gt;"",IFERROR(INDEX($AB$3:$AD$600,MATCH(1,($AB$3:$AB$600=W100)*($AC$3:$AC$600=X100),0),3),"Don’t Exists"),"")</f>
        <v/>
      </c>
      <c r="AA100" s="2" t="str">
        <f t="shared" si="2"/>
        <v/>
      </c>
    </row>
    <row r="101" spans="22:27" x14ac:dyDescent="0.15">
      <c r="V101" s="2" t="str">
        <f t="shared" si="3"/>
        <v/>
      </c>
      <c r="Y101" s="2" t="str">
        <f t="array" ref="Y101">IF(X101&lt;&gt;"",IFERROR(INDEX($AB$3:$AD$600,MATCH(1,($AB$3:$AB$600=W101)*($AC$3:$AC$600=X101),0),3),"Don’t Exists"),"")</f>
        <v/>
      </c>
      <c r="AA101" s="2" t="str">
        <f t="shared" si="2"/>
        <v/>
      </c>
    </row>
    <row r="102" spans="22:27" x14ac:dyDescent="0.15">
      <c r="V102" s="2" t="str">
        <f t="shared" si="3"/>
        <v/>
      </c>
      <c r="Y102" s="2" t="str">
        <f t="array" ref="Y102">IF(X102&lt;&gt;"",IFERROR(INDEX($AB$3:$AD$600,MATCH(1,($AB$3:$AB$600=W102)*($AC$3:$AC$600=X102),0),3),"Don’t Exists"),"")</f>
        <v/>
      </c>
      <c r="AA102" s="2" t="str">
        <f t="shared" si="2"/>
        <v/>
      </c>
    </row>
    <row r="103" spans="22:27" x14ac:dyDescent="0.15">
      <c r="V103" s="2" t="str">
        <f t="shared" si="3"/>
        <v/>
      </c>
      <c r="Y103" s="2" t="str">
        <f t="array" ref="Y103">IF(X103&lt;&gt;"",IFERROR(INDEX($AB$3:$AD$600,MATCH(1,($AB$3:$AB$600=W103)*($AC$3:$AC$600=X103),0),3),"Don’t Exists"),"")</f>
        <v/>
      </c>
      <c r="AA103" s="2" t="str">
        <f t="shared" si="2"/>
        <v/>
      </c>
    </row>
    <row r="104" spans="22:27" x14ac:dyDescent="0.15">
      <c r="V104" s="2" t="str">
        <f t="shared" si="3"/>
        <v/>
      </c>
      <c r="Y104" s="2" t="str">
        <f t="array" ref="Y104">IF(X104&lt;&gt;"",IFERROR(INDEX($AB$3:$AD$600,MATCH(1,($AB$3:$AB$600=W104)*($AC$3:$AC$600=X104),0),3),"Don’t Exists"),"")</f>
        <v/>
      </c>
      <c r="AA104" s="2" t="str">
        <f t="shared" si="2"/>
        <v/>
      </c>
    </row>
    <row r="105" spans="22:27" x14ac:dyDescent="0.15">
      <c r="V105" s="2" t="str">
        <f t="shared" si="3"/>
        <v/>
      </c>
      <c r="Y105" s="2" t="str">
        <f t="array" ref="Y105">IF(X105&lt;&gt;"",IFERROR(INDEX($AB$3:$AD$600,MATCH(1,($AB$3:$AB$600=W105)*($AC$3:$AC$600=X105),0),3),"Don’t Exists"),"")</f>
        <v/>
      </c>
      <c r="AA105" s="2" t="str">
        <f t="shared" si="2"/>
        <v/>
      </c>
    </row>
    <row r="106" spans="22:27" x14ac:dyDescent="0.15">
      <c r="V106" s="2" t="str">
        <f t="shared" si="3"/>
        <v/>
      </c>
      <c r="Y106" s="2" t="str">
        <f t="array" ref="Y106">IF(X106&lt;&gt;"",IFERROR(INDEX($AB$3:$AD$600,MATCH(1,($AB$3:$AB$600=W106)*($AC$3:$AC$600=X106),0),3),"Don’t Exists"),"")</f>
        <v/>
      </c>
      <c r="AA106" s="2" t="str">
        <f t="shared" si="2"/>
        <v/>
      </c>
    </row>
    <row r="107" spans="22:27" x14ac:dyDescent="0.15">
      <c r="V107" s="2" t="str">
        <f t="shared" si="3"/>
        <v/>
      </c>
      <c r="Y107" s="2" t="str">
        <f t="array" ref="Y107">IF(X107&lt;&gt;"",IFERROR(INDEX($AB$3:$AD$600,MATCH(1,($AB$3:$AB$600=W107)*($AC$3:$AC$600=X107),0),3),"Don’t Exists"),"")</f>
        <v/>
      </c>
      <c r="AA107" s="2" t="str">
        <f t="shared" si="2"/>
        <v/>
      </c>
    </row>
    <row r="108" spans="22:27" x14ac:dyDescent="0.15">
      <c r="V108" s="2" t="str">
        <f t="shared" si="3"/>
        <v/>
      </c>
      <c r="Y108" s="2" t="str">
        <f t="array" ref="Y108">IF(X108&lt;&gt;"",IFERROR(INDEX($AB$3:$AD$600,MATCH(1,($AB$3:$AB$600=W108)*($AC$3:$AC$600=X108),0),3),"Don’t Exists"),"")</f>
        <v/>
      </c>
      <c r="AA108" s="2" t="str">
        <f t="shared" si="2"/>
        <v/>
      </c>
    </row>
    <row r="109" spans="22:27" x14ac:dyDescent="0.15">
      <c r="V109" s="2" t="str">
        <f t="shared" si="3"/>
        <v/>
      </c>
      <c r="Y109" s="2" t="str">
        <f t="array" ref="Y109">IF(X109&lt;&gt;"",IFERROR(INDEX($AB$3:$AD$600,MATCH(1,($AB$3:$AB$600=W109)*($AC$3:$AC$600=X109),0),3),"Don’t Exists"),"")</f>
        <v/>
      </c>
      <c r="AA109" s="2" t="str">
        <f t="shared" si="2"/>
        <v/>
      </c>
    </row>
    <row r="110" spans="22:27" x14ac:dyDescent="0.15">
      <c r="V110" s="2" t="str">
        <f t="shared" si="3"/>
        <v/>
      </c>
      <c r="Y110" s="2" t="str">
        <f t="array" ref="Y110">IF(X110&lt;&gt;"",IFERROR(INDEX($AB$3:$AD$600,MATCH(1,($AB$3:$AB$600=W110)*($AC$3:$AC$600=X110),0),3),"Don’t Exists"),"")</f>
        <v/>
      </c>
      <c r="AA110" s="2" t="str">
        <f t="shared" si="2"/>
        <v/>
      </c>
    </row>
    <row r="111" spans="22:27" x14ac:dyDescent="0.15">
      <c r="V111" s="2" t="str">
        <f t="shared" si="3"/>
        <v/>
      </c>
      <c r="Y111" s="2" t="str">
        <f t="array" ref="Y111">IF(X111&lt;&gt;"",IFERROR(INDEX($AB$3:$AD$600,MATCH(1,($AB$3:$AB$600=W111)*($AC$3:$AC$600=X111),0),3),"Don’t Exists"),"")</f>
        <v/>
      </c>
      <c r="AA111" s="2" t="str">
        <f t="shared" si="2"/>
        <v/>
      </c>
    </row>
    <row r="112" spans="22:27" x14ac:dyDescent="0.15">
      <c r="V112" s="2" t="str">
        <f t="shared" si="3"/>
        <v/>
      </c>
      <c r="Y112" s="2" t="str">
        <f t="array" ref="Y112">IF(X112&lt;&gt;"",IFERROR(INDEX($AB$3:$AD$600,MATCH(1,($AB$3:$AB$600=W112)*($AC$3:$AC$600=X112),0),3),"Don’t Exists"),"")</f>
        <v/>
      </c>
      <c r="AA112" s="2" t="str">
        <f t="shared" si="2"/>
        <v/>
      </c>
    </row>
    <row r="113" spans="22:27" x14ac:dyDescent="0.15">
      <c r="V113" s="2" t="str">
        <f t="shared" si="3"/>
        <v/>
      </c>
      <c r="Y113" s="2" t="str">
        <f t="array" ref="Y113">IF(X113&lt;&gt;"",IFERROR(INDEX($AB$3:$AD$600,MATCH(1,($AB$3:$AB$600=W113)*($AC$3:$AC$600=X113),0),3),"Don’t Exists"),"")</f>
        <v/>
      </c>
      <c r="AA113" s="2" t="str">
        <f t="shared" si="2"/>
        <v/>
      </c>
    </row>
    <row r="114" spans="22:27" x14ac:dyDescent="0.15">
      <c r="V114" s="2" t="str">
        <f t="shared" si="3"/>
        <v/>
      </c>
      <c r="Y114" s="2" t="str">
        <f t="array" ref="Y114">IF(X114&lt;&gt;"",IFERROR(INDEX($AB$3:$AD$600,MATCH(1,($AB$3:$AB$600=W114)*($AC$3:$AC$600=X114),0),3),"Don’t Exists"),"")</f>
        <v/>
      </c>
      <c r="AA114" s="2" t="str">
        <f t="shared" si="2"/>
        <v/>
      </c>
    </row>
    <row r="115" spans="22:27" x14ac:dyDescent="0.15">
      <c r="V115" s="2" t="str">
        <f t="shared" si="3"/>
        <v/>
      </c>
      <c r="Y115" s="2" t="str">
        <f t="array" ref="Y115">IF(X115&lt;&gt;"",IFERROR(INDEX($AB$3:$AD$600,MATCH(1,($AB$3:$AB$600=W115)*($AC$3:$AC$600=X115),0),3),"Don’t Exists"),"")</f>
        <v/>
      </c>
      <c r="AA115" s="2" t="str">
        <f t="shared" si="2"/>
        <v/>
      </c>
    </row>
    <row r="116" spans="22:27" x14ac:dyDescent="0.15">
      <c r="V116" s="2" t="str">
        <f t="shared" si="3"/>
        <v/>
      </c>
      <c r="Y116" s="2" t="str">
        <f t="array" ref="Y116">IF(X116&lt;&gt;"",IFERROR(INDEX($AB$3:$AD$600,MATCH(1,($AB$3:$AB$600=W116)*($AC$3:$AC$600=X116),0),3),"Don’t Exists"),"")</f>
        <v/>
      </c>
      <c r="AA116" s="2" t="str">
        <f t="shared" si="2"/>
        <v/>
      </c>
    </row>
    <row r="117" spans="22:27" x14ac:dyDescent="0.15">
      <c r="V117" s="2" t="str">
        <f t="shared" si="3"/>
        <v/>
      </c>
      <c r="Y117" s="2" t="str">
        <f t="array" ref="Y117">IF(X117&lt;&gt;"",IFERROR(INDEX($AB$3:$AD$600,MATCH(1,($AB$3:$AB$600=W117)*($AC$3:$AC$600=X117),0),3),"Don’t Exists"),"")</f>
        <v/>
      </c>
      <c r="AA117" s="2" t="str">
        <f t="shared" si="2"/>
        <v/>
      </c>
    </row>
    <row r="118" spans="22:27" x14ac:dyDescent="0.15">
      <c r="V118" s="2" t="str">
        <f t="shared" si="3"/>
        <v/>
      </c>
      <c r="Y118" s="2" t="str">
        <f t="array" ref="Y118">IF(X118&lt;&gt;"",IFERROR(INDEX($AB$3:$AD$600,MATCH(1,($AB$3:$AB$600=W118)*($AC$3:$AC$600=X118),0),3),"Don’t Exists"),"")</f>
        <v/>
      </c>
      <c r="AA118" s="2" t="str">
        <f t="shared" si="2"/>
        <v/>
      </c>
    </row>
    <row r="119" spans="22:27" x14ac:dyDescent="0.15">
      <c r="V119" s="2" t="str">
        <f t="shared" si="3"/>
        <v/>
      </c>
      <c r="Y119" s="2" t="str">
        <f t="array" ref="Y119">IF(X119&lt;&gt;"",IFERROR(INDEX($AB$3:$AD$600,MATCH(1,($AB$3:$AB$600=W119)*($AC$3:$AC$600=X119),0),3),"Don’t Exists"),"")</f>
        <v/>
      </c>
      <c r="AA119" s="2" t="str">
        <f t="shared" si="2"/>
        <v/>
      </c>
    </row>
    <row r="120" spans="22:27" x14ac:dyDescent="0.15">
      <c r="V120" s="2" t="str">
        <f t="shared" si="3"/>
        <v/>
      </c>
      <c r="Y120" s="2" t="str">
        <f t="array" ref="Y120">IF(X120&lt;&gt;"",IFERROR(INDEX($AB$3:$AD$600,MATCH(1,($AB$3:$AB$600=W120)*($AC$3:$AC$600=X120),0),3),"Don’t Exists"),"")</f>
        <v/>
      </c>
      <c r="AA120" s="2" t="str">
        <f t="shared" si="2"/>
        <v/>
      </c>
    </row>
    <row r="121" spans="22:27" x14ac:dyDescent="0.15">
      <c r="V121" s="2" t="str">
        <f t="shared" si="3"/>
        <v/>
      </c>
      <c r="Y121" s="2" t="str">
        <f t="array" ref="Y121">IF(X121&lt;&gt;"",IFERROR(INDEX($AB$3:$AD$600,MATCH(1,($AB$3:$AB$600=W121)*($AC$3:$AC$600=X121),0),3),"Don’t Exists"),"")</f>
        <v/>
      </c>
      <c r="AA121" s="2" t="str">
        <f t="shared" si="2"/>
        <v/>
      </c>
    </row>
    <row r="122" spans="22:27" x14ac:dyDescent="0.15">
      <c r="V122" s="2" t="str">
        <f t="shared" si="3"/>
        <v/>
      </c>
      <c r="Y122" s="2" t="str">
        <f t="array" ref="Y122">IF(X122&lt;&gt;"",IFERROR(INDEX($AB$3:$AD$600,MATCH(1,($AB$3:$AB$600=W122)*($AC$3:$AC$600=X122),0),3),"Don’t Exists"),"")</f>
        <v/>
      </c>
      <c r="AA122" s="2" t="str">
        <f t="shared" si="2"/>
        <v/>
      </c>
    </row>
    <row r="123" spans="22:27" x14ac:dyDescent="0.15">
      <c r="V123" s="2" t="str">
        <f t="shared" si="3"/>
        <v/>
      </c>
      <c r="Y123" s="2" t="str">
        <f t="array" ref="Y123">IF(X123&lt;&gt;"",IFERROR(INDEX($AB$3:$AD$600,MATCH(1,($AB$3:$AB$600=W123)*($AC$3:$AC$600=X123),0),3),"Don’t Exists"),"")</f>
        <v/>
      </c>
      <c r="AA123" s="2" t="str">
        <f t="shared" si="2"/>
        <v/>
      </c>
    </row>
    <row r="124" spans="22:27" x14ac:dyDescent="0.15">
      <c r="V124" s="2" t="str">
        <f t="shared" si="3"/>
        <v/>
      </c>
      <c r="Y124" s="2" t="str">
        <f t="array" ref="Y124">IF(X124&lt;&gt;"",IFERROR(INDEX($AB$3:$AD$600,MATCH(1,($AB$3:$AB$600=W124)*($AC$3:$AC$600=X124),0),3),"Don’t Exists"),"")</f>
        <v/>
      </c>
      <c r="AA124" s="2" t="str">
        <f t="shared" si="2"/>
        <v/>
      </c>
    </row>
    <row r="125" spans="22:27" x14ac:dyDescent="0.15">
      <c r="V125" s="2" t="str">
        <f t="shared" si="3"/>
        <v/>
      </c>
      <c r="Y125" s="2" t="str">
        <f t="array" ref="Y125">IF(X125&lt;&gt;"",IFERROR(INDEX($AB$3:$AD$600,MATCH(1,($AB$3:$AB$600=W125)*($AC$3:$AC$600=X125),0),3),"Don’t Exists"),"")</f>
        <v/>
      </c>
      <c r="AA125" s="2" t="str">
        <f t="shared" si="2"/>
        <v/>
      </c>
    </row>
    <row r="126" spans="22:27" x14ac:dyDescent="0.15">
      <c r="V126" s="2" t="str">
        <f t="shared" si="3"/>
        <v/>
      </c>
      <c r="Y126" s="2" t="str">
        <f t="array" ref="Y126">IF(X126&lt;&gt;"",IFERROR(INDEX($AB$3:$AD$600,MATCH(1,($AB$3:$AB$600=W126)*($AC$3:$AC$600=X126),0),3),"Don’t Exists"),"")</f>
        <v/>
      </c>
      <c r="AA126" s="2" t="str">
        <f t="shared" si="2"/>
        <v/>
      </c>
    </row>
    <row r="127" spans="22:27" x14ac:dyDescent="0.15">
      <c r="V127" s="2" t="str">
        <f t="shared" si="3"/>
        <v/>
      </c>
      <c r="Y127" s="2" t="str">
        <f t="array" ref="Y127">IF(X127&lt;&gt;"",IFERROR(INDEX($AB$3:$AD$600,MATCH(1,($AB$3:$AB$600=W127)*($AC$3:$AC$600=X127),0),3),"Don’t Exists"),"")</f>
        <v/>
      </c>
      <c r="AA127" s="2" t="str">
        <f t="shared" si="2"/>
        <v/>
      </c>
    </row>
    <row r="128" spans="22:27" x14ac:dyDescent="0.15">
      <c r="V128" s="2" t="str">
        <f t="shared" si="3"/>
        <v/>
      </c>
      <c r="Y128" s="2" t="str">
        <f t="array" ref="Y128">IF(X128&lt;&gt;"",IFERROR(INDEX($AB$3:$AD$600,MATCH(1,($AB$3:$AB$600=W128)*($AC$3:$AC$600=X128),0),3),"Don’t Exists"),"")</f>
        <v/>
      </c>
      <c r="AA128" s="2" t="str">
        <f t="shared" si="2"/>
        <v/>
      </c>
    </row>
    <row r="129" spans="22:27" x14ac:dyDescent="0.15">
      <c r="V129" s="2" t="str">
        <f t="shared" si="3"/>
        <v/>
      </c>
      <c r="Y129" s="2" t="str">
        <f t="array" ref="Y129">IF(X129&lt;&gt;"",IFERROR(INDEX($AB$3:$AD$600,MATCH(1,($AB$3:$AB$600=W129)*($AC$3:$AC$600=X129),0),3),"Don’t Exists"),"")</f>
        <v/>
      </c>
      <c r="AA129" s="2" t="str">
        <f t="shared" si="2"/>
        <v/>
      </c>
    </row>
    <row r="130" spans="22:27" x14ac:dyDescent="0.15">
      <c r="V130" s="2" t="str">
        <f t="shared" si="3"/>
        <v/>
      </c>
      <c r="Y130" s="2" t="str">
        <f t="array" ref="Y130">IF(X130&lt;&gt;"",IFERROR(INDEX($AB$3:$AD$600,MATCH(1,($AB$3:$AB$600=W130)*($AC$3:$AC$600=X130),0),3),"Don’t Exists"),"")</f>
        <v/>
      </c>
      <c r="AA130" s="2" t="str">
        <f t="shared" si="2"/>
        <v/>
      </c>
    </row>
    <row r="131" spans="22:27" x14ac:dyDescent="0.15">
      <c r="V131" s="2" t="str">
        <f t="shared" si="3"/>
        <v/>
      </c>
      <c r="Y131" s="2" t="str">
        <f t="array" ref="Y131">IF(X131&lt;&gt;"",IFERROR(INDEX($AB$3:$AD$600,MATCH(1,($AB$3:$AB$600=W131)*($AC$3:$AC$600=X131),0),3),"Don’t Exists"),"")</f>
        <v/>
      </c>
      <c r="AA131" s="2" t="str">
        <f t="shared" si="2"/>
        <v/>
      </c>
    </row>
    <row r="132" spans="22:27" x14ac:dyDescent="0.15">
      <c r="V132" s="2" t="str">
        <f t="shared" si="3"/>
        <v/>
      </c>
      <c r="Y132" s="2" t="str">
        <f t="array" ref="Y132">IF(X132&lt;&gt;"",IFERROR(INDEX($AB$3:$AD$600,MATCH(1,($AB$3:$AB$600=W132)*($AC$3:$AC$600=X132),0),3),"Don’t Exists"),"")</f>
        <v/>
      </c>
      <c r="AA132" s="2" t="str">
        <f t="shared" ref="AA132:AA195" si="4">IF(AC132&lt;&gt;"",ROW()-2,"")</f>
        <v/>
      </c>
    </row>
    <row r="133" spans="22:27" x14ac:dyDescent="0.15">
      <c r="V133" s="2" t="str">
        <f t="shared" si="3"/>
        <v/>
      </c>
      <c r="Y133" s="2" t="str">
        <f t="array" ref="Y133">IF(X133&lt;&gt;"",IFERROR(INDEX($AB$3:$AD$600,MATCH(1,($AB$3:$AB$600=W133)*($AC$3:$AC$600=X133),0),3),"Don’t Exists"),"")</f>
        <v/>
      </c>
      <c r="AA133" s="2" t="str">
        <f t="shared" si="4"/>
        <v/>
      </c>
    </row>
    <row r="134" spans="22:27" x14ac:dyDescent="0.15">
      <c r="V134" s="2" t="str">
        <f t="shared" si="3"/>
        <v/>
      </c>
      <c r="Y134" s="2" t="str">
        <f t="array" ref="Y134">IF(X134&lt;&gt;"",IFERROR(INDEX($AB$3:$AD$600,MATCH(1,($AB$3:$AB$600=W134)*($AC$3:$AC$600=X134),0),3),"Don’t Exists"),"")</f>
        <v/>
      </c>
      <c r="AA134" s="2" t="str">
        <f t="shared" si="4"/>
        <v/>
      </c>
    </row>
    <row r="135" spans="22:27" x14ac:dyDescent="0.15">
      <c r="V135" s="2" t="str">
        <f t="shared" si="3"/>
        <v/>
      </c>
      <c r="Y135" s="2" t="str">
        <f t="array" ref="Y135">IF(X135&lt;&gt;"",IFERROR(INDEX($AB$3:$AD$600,MATCH(1,($AB$3:$AB$600=W135)*($AC$3:$AC$600=X135),0),3),"Don’t Exists"),"")</f>
        <v/>
      </c>
      <c r="AA135" s="2" t="str">
        <f t="shared" si="4"/>
        <v/>
      </c>
    </row>
    <row r="136" spans="22:27" x14ac:dyDescent="0.15">
      <c r="V136" s="2" t="str">
        <f t="shared" si="3"/>
        <v/>
      </c>
      <c r="Y136" s="2" t="str">
        <f t="array" ref="Y136">IF(X136&lt;&gt;"",IFERROR(INDEX($AB$3:$AD$600,MATCH(1,($AB$3:$AB$600=W136)*($AC$3:$AC$600=X136),0),3),"Don’t Exists"),"")</f>
        <v/>
      </c>
      <c r="AA136" s="2" t="str">
        <f t="shared" si="4"/>
        <v/>
      </c>
    </row>
    <row r="137" spans="22:27" x14ac:dyDescent="0.15">
      <c r="V137" s="2" t="str">
        <f t="shared" si="3"/>
        <v/>
      </c>
      <c r="Y137" s="2" t="str">
        <f t="array" ref="Y137">IF(X137&lt;&gt;"",IFERROR(INDEX($AB$3:$AD$600,MATCH(1,($AB$3:$AB$600=W137)*($AC$3:$AC$600=X137),0),3),"Don’t Exists"),"")</f>
        <v/>
      </c>
      <c r="AA137" s="2" t="str">
        <f t="shared" si="4"/>
        <v/>
      </c>
    </row>
    <row r="138" spans="22:27" x14ac:dyDescent="0.15">
      <c r="V138" s="2" t="str">
        <f t="shared" si="3"/>
        <v/>
      </c>
      <c r="Y138" s="2" t="str">
        <f t="array" ref="Y138">IF(X138&lt;&gt;"",IFERROR(INDEX($AB$3:$AD$600,MATCH(1,($AB$3:$AB$600=W138)*($AC$3:$AC$600=X138),0),3),"Don’t Exists"),"")</f>
        <v/>
      </c>
      <c r="AA138" s="2" t="str">
        <f t="shared" si="4"/>
        <v/>
      </c>
    </row>
    <row r="139" spans="22:27" x14ac:dyDescent="0.15">
      <c r="V139" s="2" t="str">
        <f t="shared" si="3"/>
        <v/>
      </c>
      <c r="Y139" s="2" t="str">
        <f t="array" ref="Y139">IF(X139&lt;&gt;"",IFERROR(INDEX($AB$3:$AD$600,MATCH(1,($AB$3:$AB$600=W139)*($AC$3:$AC$600=X139),0),3),"Don’t Exists"),"")</f>
        <v/>
      </c>
      <c r="AA139" s="2" t="str">
        <f t="shared" si="4"/>
        <v/>
      </c>
    </row>
    <row r="140" spans="22:27" x14ac:dyDescent="0.15">
      <c r="V140" s="2" t="str">
        <f t="shared" si="3"/>
        <v/>
      </c>
      <c r="Y140" s="2" t="str">
        <f t="array" ref="Y140">IF(X140&lt;&gt;"",IFERROR(INDEX($AB$3:$AD$600,MATCH(1,($AB$3:$AB$600=W140)*($AC$3:$AC$600=X140),0),3),"Don’t Exists"),"")</f>
        <v/>
      </c>
      <c r="AA140" s="2" t="str">
        <f t="shared" si="4"/>
        <v/>
      </c>
    </row>
    <row r="141" spans="22:27" x14ac:dyDescent="0.15">
      <c r="V141" s="2" t="str">
        <f t="shared" ref="V141:V204" si="5">IF(X141&lt;&gt;"",ROW()-ROW(V$11),"")</f>
        <v/>
      </c>
      <c r="Y141" s="2" t="str">
        <f t="array" ref="Y141">IF(X141&lt;&gt;"",IFERROR(INDEX($AB$3:$AD$600,MATCH(1,($AB$3:$AB$600=W141)*($AC$3:$AC$600=X141),0),3),"Don’t Exists"),"")</f>
        <v/>
      </c>
      <c r="AA141" s="2" t="str">
        <f t="shared" si="4"/>
        <v/>
      </c>
    </row>
    <row r="142" spans="22:27" x14ac:dyDescent="0.15">
      <c r="V142" s="2" t="str">
        <f t="shared" si="5"/>
        <v/>
      </c>
      <c r="Y142" s="2" t="str">
        <f t="array" ref="Y142">IF(X142&lt;&gt;"",IFERROR(INDEX($AB$3:$AD$600,MATCH(1,($AB$3:$AB$600=W142)*($AC$3:$AC$600=X142),0),3),"Don’t Exists"),"")</f>
        <v/>
      </c>
      <c r="AA142" s="2" t="str">
        <f t="shared" si="4"/>
        <v/>
      </c>
    </row>
    <row r="143" spans="22:27" x14ac:dyDescent="0.15">
      <c r="V143" s="2" t="str">
        <f t="shared" si="5"/>
        <v/>
      </c>
      <c r="Y143" s="2" t="str">
        <f t="array" ref="Y143">IF(X143&lt;&gt;"",IFERROR(INDEX($AB$3:$AD$600,MATCH(1,($AB$3:$AB$600=W143)*($AC$3:$AC$600=X143),0),3),"Don’t Exists"),"")</f>
        <v/>
      </c>
      <c r="AA143" s="2" t="str">
        <f t="shared" si="4"/>
        <v/>
      </c>
    </row>
    <row r="144" spans="22:27" x14ac:dyDescent="0.15">
      <c r="V144" s="2" t="str">
        <f t="shared" si="5"/>
        <v/>
      </c>
      <c r="Y144" s="2" t="str">
        <f t="array" ref="Y144">IF(X144&lt;&gt;"",IFERROR(INDEX($AB$3:$AD$600,MATCH(1,($AB$3:$AB$600=W144)*($AC$3:$AC$600=X144),0),3),"Don’t Exists"),"")</f>
        <v/>
      </c>
      <c r="AA144" s="2" t="str">
        <f t="shared" si="4"/>
        <v/>
      </c>
    </row>
    <row r="145" spans="22:27" x14ac:dyDescent="0.15">
      <c r="V145" s="2" t="str">
        <f t="shared" si="5"/>
        <v/>
      </c>
      <c r="Y145" s="2" t="str">
        <f t="array" ref="Y145">IF(X145&lt;&gt;"",IFERROR(INDEX($AB$3:$AD$600,MATCH(1,($AB$3:$AB$600=W145)*($AC$3:$AC$600=X145),0),3),"Don’t Exists"),"")</f>
        <v/>
      </c>
      <c r="AA145" s="2" t="str">
        <f t="shared" si="4"/>
        <v/>
      </c>
    </row>
    <row r="146" spans="22:27" x14ac:dyDescent="0.15">
      <c r="V146" s="2" t="str">
        <f t="shared" si="5"/>
        <v/>
      </c>
      <c r="Y146" s="2" t="str">
        <f t="array" ref="Y146">IF(X146&lt;&gt;"",IFERROR(INDEX($AB$3:$AD$600,MATCH(1,($AB$3:$AB$600=W146)*($AC$3:$AC$600=X146),0),3),"Don’t Exists"),"")</f>
        <v/>
      </c>
      <c r="AA146" s="2" t="str">
        <f t="shared" si="4"/>
        <v/>
      </c>
    </row>
    <row r="147" spans="22:27" x14ac:dyDescent="0.15">
      <c r="V147" s="2" t="str">
        <f t="shared" si="5"/>
        <v/>
      </c>
      <c r="Y147" s="2" t="str">
        <f t="array" ref="Y147">IF(X147&lt;&gt;"",IFERROR(INDEX($AB$3:$AD$600,MATCH(1,($AB$3:$AB$600=W147)*($AC$3:$AC$600=X147),0),3),"Don’t Exists"),"")</f>
        <v/>
      </c>
      <c r="AA147" s="2" t="str">
        <f t="shared" si="4"/>
        <v/>
      </c>
    </row>
    <row r="148" spans="22:27" x14ac:dyDescent="0.15">
      <c r="V148" s="2" t="str">
        <f t="shared" si="5"/>
        <v/>
      </c>
      <c r="Y148" s="2" t="str">
        <f t="array" ref="Y148">IF(X148&lt;&gt;"",IFERROR(INDEX($AB$3:$AD$600,MATCH(1,($AB$3:$AB$600=W148)*($AC$3:$AC$600=X148),0),3),"Don’t Exists"),"")</f>
        <v/>
      </c>
      <c r="AA148" s="2" t="str">
        <f t="shared" si="4"/>
        <v/>
      </c>
    </row>
    <row r="149" spans="22:27" x14ac:dyDescent="0.15">
      <c r="V149" s="2" t="str">
        <f t="shared" si="5"/>
        <v/>
      </c>
      <c r="Y149" s="2" t="str">
        <f t="array" ref="Y149">IF(X149&lt;&gt;"",IFERROR(INDEX($AB$3:$AD$600,MATCH(1,($AB$3:$AB$600=W149)*($AC$3:$AC$600=X149),0),3),"Don’t Exists"),"")</f>
        <v/>
      </c>
      <c r="AA149" s="2" t="str">
        <f t="shared" si="4"/>
        <v/>
      </c>
    </row>
    <row r="150" spans="22:27" x14ac:dyDescent="0.15">
      <c r="V150" s="2" t="str">
        <f t="shared" si="5"/>
        <v/>
      </c>
      <c r="Y150" s="2" t="str">
        <f t="array" ref="Y150">IF(X150&lt;&gt;"",IFERROR(INDEX($AB$3:$AD$600,MATCH(1,($AB$3:$AB$600=W150)*($AC$3:$AC$600=X150),0),3),"Don’t Exists"),"")</f>
        <v/>
      </c>
      <c r="AA150" s="2" t="str">
        <f t="shared" si="4"/>
        <v/>
      </c>
    </row>
    <row r="151" spans="22:27" x14ac:dyDescent="0.15">
      <c r="V151" s="2" t="str">
        <f t="shared" si="5"/>
        <v/>
      </c>
      <c r="Y151" s="2" t="str">
        <f t="array" ref="Y151">IF(X151&lt;&gt;"",IFERROR(INDEX($AB$3:$AD$600,MATCH(1,($AB$3:$AB$600=W151)*($AC$3:$AC$600=X151),0),3),"Don’t Exists"),"")</f>
        <v/>
      </c>
      <c r="AA151" s="2" t="str">
        <f t="shared" si="4"/>
        <v/>
      </c>
    </row>
    <row r="152" spans="22:27" x14ac:dyDescent="0.15">
      <c r="V152" s="2" t="str">
        <f t="shared" si="5"/>
        <v/>
      </c>
      <c r="Y152" s="2" t="str">
        <f t="array" ref="Y152">IF(X152&lt;&gt;"",IFERROR(INDEX($AB$3:$AD$600,MATCH(1,($AB$3:$AB$600=W152)*($AC$3:$AC$600=X152),0),3),"Don’t Exists"),"")</f>
        <v/>
      </c>
      <c r="AA152" s="2" t="str">
        <f t="shared" si="4"/>
        <v/>
      </c>
    </row>
    <row r="153" spans="22:27" x14ac:dyDescent="0.15">
      <c r="V153" s="2" t="str">
        <f t="shared" si="5"/>
        <v/>
      </c>
      <c r="Y153" s="2" t="str">
        <f t="array" ref="Y153">IF(X153&lt;&gt;"",IFERROR(INDEX($AB$3:$AD$600,MATCH(1,($AB$3:$AB$600=W153)*($AC$3:$AC$600=X153),0),3),"Don’t Exists"),"")</f>
        <v/>
      </c>
      <c r="AA153" s="2" t="str">
        <f t="shared" si="4"/>
        <v/>
      </c>
    </row>
    <row r="154" spans="22:27" x14ac:dyDescent="0.15">
      <c r="V154" s="2" t="str">
        <f t="shared" si="5"/>
        <v/>
      </c>
      <c r="Y154" s="2" t="str">
        <f t="array" ref="Y154">IF(X154&lt;&gt;"",IFERROR(INDEX($AB$3:$AD$600,MATCH(1,($AB$3:$AB$600=W154)*($AC$3:$AC$600=X154),0),3),"Don’t Exists"),"")</f>
        <v/>
      </c>
      <c r="AA154" s="2" t="str">
        <f t="shared" si="4"/>
        <v/>
      </c>
    </row>
    <row r="155" spans="22:27" x14ac:dyDescent="0.15">
      <c r="V155" s="2" t="str">
        <f t="shared" si="5"/>
        <v/>
      </c>
      <c r="Y155" s="2" t="str">
        <f t="array" ref="Y155">IF(X155&lt;&gt;"",IFERROR(INDEX($AB$3:$AD$600,MATCH(1,($AB$3:$AB$600=W155)*($AC$3:$AC$600=X155),0),3),"Don’t Exists"),"")</f>
        <v/>
      </c>
      <c r="AA155" s="2" t="str">
        <f t="shared" si="4"/>
        <v/>
      </c>
    </row>
    <row r="156" spans="22:27" x14ac:dyDescent="0.15">
      <c r="V156" s="2" t="str">
        <f t="shared" si="5"/>
        <v/>
      </c>
      <c r="Y156" s="2" t="str">
        <f t="array" ref="Y156">IF(X156&lt;&gt;"",IFERROR(INDEX($AB$3:$AD$600,MATCH(1,($AB$3:$AB$600=W156)*($AC$3:$AC$600=X156),0),3),"Don’t Exists"),"")</f>
        <v/>
      </c>
      <c r="AA156" s="2" t="str">
        <f t="shared" si="4"/>
        <v/>
      </c>
    </row>
    <row r="157" spans="22:27" x14ac:dyDescent="0.15">
      <c r="V157" s="2" t="str">
        <f t="shared" si="5"/>
        <v/>
      </c>
      <c r="Y157" s="2" t="str">
        <f t="array" ref="Y157">IF(X157&lt;&gt;"",IFERROR(INDEX($AB$3:$AD$600,MATCH(1,($AB$3:$AB$600=W157)*($AC$3:$AC$600=X157),0),3),"Don’t Exists"),"")</f>
        <v/>
      </c>
      <c r="AA157" s="2" t="str">
        <f t="shared" si="4"/>
        <v/>
      </c>
    </row>
    <row r="158" spans="22:27" x14ac:dyDescent="0.15">
      <c r="V158" s="2" t="str">
        <f t="shared" si="5"/>
        <v/>
      </c>
      <c r="Y158" s="2" t="str">
        <f t="array" ref="Y158">IF(X158&lt;&gt;"",IFERROR(INDEX($AB$3:$AD$600,MATCH(1,($AB$3:$AB$600=W158)*($AC$3:$AC$600=X158),0),3),"Don’t Exists"),"")</f>
        <v/>
      </c>
      <c r="AA158" s="2" t="str">
        <f t="shared" si="4"/>
        <v/>
      </c>
    </row>
    <row r="159" spans="22:27" x14ac:dyDescent="0.15">
      <c r="V159" s="2" t="str">
        <f t="shared" si="5"/>
        <v/>
      </c>
      <c r="Y159" s="2" t="str">
        <f t="array" ref="Y159">IF(X159&lt;&gt;"",IFERROR(INDEX($AB$3:$AD$600,MATCH(1,($AB$3:$AB$600=W159)*($AC$3:$AC$600=X159),0),3),"Don’t Exists"),"")</f>
        <v/>
      </c>
      <c r="AA159" s="2" t="str">
        <f t="shared" si="4"/>
        <v/>
      </c>
    </row>
    <row r="160" spans="22:27" x14ac:dyDescent="0.15">
      <c r="V160" s="2" t="str">
        <f t="shared" si="5"/>
        <v/>
      </c>
      <c r="Y160" s="2" t="str">
        <f t="array" ref="Y160">IF(X160&lt;&gt;"",IFERROR(INDEX($AB$3:$AD$600,MATCH(1,($AB$3:$AB$600=W160)*($AC$3:$AC$600=X160),0),3),"Don’t Exists"),"")</f>
        <v/>
      </c>
      <c r="AA160" s="2" t="str">
        <f t="shared" si="4"/>
        <v/>
      </c>
    </row>
    <row r="161" spans="22:27" x14ac:dyDescent="0.15">
      <c r="V161" s="2" t="str">
        <f t="shared" si="5"/>
        <v/>
      </c>
      <c r="Y161" s="2" t="str">
        <f t="array" ref="Y161">IF(X161&lt;&gt;"",IFERROR(INDEX($AB$3:$AD$600,MATCH(1,($AB$3:$AB$600=W161)*($AC$3:$AC$600=X161),0),3),"Don’t Exists"),"")</f>
        <v/>
      </c>
      <c r="AA161" s="2" t="str">
        <f t="shared" si="4"/>
        <v/>
      </c>
    </row>
    <row r="162" spans="22:27" x14ac:dyDescent="0.15">
      <c r="V162" s="2" t="str">
        <f t="shared" si="5"/>
        <v/>
      </c>
      <c r="Y162" s="2" t="str">
        <f t="array" ref="Y162">IF(X162&lt;&gt;"",IFERROR(INDEX($AB$3:$AD$600,MATCH(1,($AB$3:$AB$600=W162)*($AC$3:$AC$600=X162),0),3),"Don’t Exists"),"")</f>
        <v/>
      </c>
      <c r="AA162" s="2" t="str">
        <f t="shared" si="4"/>
        <v/>
      </c>
    </row>
    <row r="163" spans="22:27" x14ac:dyDescent="0.15">
      <c r="V163" s="2" t="str">
        <f t="shared" si="5"/>
        <v/>
      </c>
      <c r="Y163" s="2" t="str">
        <f t="array" ref="Y163">IF(X163&lt;&gt;"",IFERROR(INDEX($AB$3:$AD$600,MATCH(1,($AB$3:$AB$600=W163)*($AC$3:$AC$600=X163),0),3),"Don’t Exists"),"")</f>
        <v/>
      </c>
      <c r="AA163" s="2" t="str">
        <f t="shared" si="4"/>
        <v/>
      </c>
    </row>
    <row r="164" spans="22:27" x14ac:dyDescent="0.15">
      <c r="V164" s="2" t="str">
        <f t="shared" si="5"/>
        <v/>
      </c>
      <c r="Y164" s="2" t="str">
        <f t="array" ref="Y164">IF(X164&lt;&gt;"",IFERROR(INDEX($AB$3:$AD$600,MATCH(1,($AB$3:$AB$600=W164)*($AC$3:$AC$600=X164),0),3),"Don’t Exists"),"")</f>
        <v/>
      </c>
      <c r="AA164" s="2" t="str">
        <f t="shared" si="4"/>
        <v/>
      </c>
    </row>
    <row r="165" spans="22:27" x14ac:dyDescent="0.15">
      <c r="V165" s="2" t="str">
        <f t="shared" si="5"/>
        <v/>
      </c>
      <c r="Y165" s="2" t="str">
        <f t="array" ref="Y165">IF(X165&lt;&gt;"",IFERROR(INDEX($AB$3:$AD$600,MATCH(1,($AB$3:$AB$600=W165)*($AC$3:$AC$600=X165),0),3),"Don’t Exists"),"")</f>
        <v/>
      </c>
      <c r="AA165" s="2" t="str">
        <f t="shared" si="4"/>
        <v/>
      </c>
    </row>
    <row r="166" spans="22:27" x14ac:dyDescent="0.15">
      <c r="V166" s="2" t="str">
        <f t="shared" si="5"/>
        <v/>
      </c>
      <c r="Y166" s="2" t="str">
        <f t="array" ref="Y166">IF(X166&lt;&gt;"",IFERROR(INDEX($AB$3:$AD$600,MATCH(1,($AB$3:$AB$600=W166)*($AC$3:$AC$600=X166),0),3),"Don’t Exists"),"")</f>
        <v/>
      </c>
      <c r="AA166" s="2" t="str">
        <f t="shared" si="4"/>
        <v/>
      </c>
    </row>
    <row r="167" spans="22:27" x14ac:dyDescent="0.15">
      <c r="V167" s="2" t="str">
        <f t="shared" si="5"/>
        <v/>
      </c>
      <c r="Y167" s="2" t="str">
        <f t="array" ref="Y167">IF(X167&lt;&gt;"",IFERROR(INDEX($AB$3:$AD$600,MATCH(1,($AB$3:$AB$600=W167)*($AC$3:$AC$600=X167),0),3),"Don’t Exists"),"")</f>
        <v/>
      </c>
      <c r="AA167" s="2" t="str">
        <f t="shared" si="4"/>
        <v/>
      </c>
    </row>
    <row r="168" spans="22:27" x14ac:dyDescent="0.15">
      <c r="V168" s="2" t="str">
        <f t="shared" si="5"/>
        <v/>
      </c>
      <c r="Y168" s="2" t="str">
        <f t="array" ref="Y168">IF(X168&lt;&gt;"",IFERROR(INDEX($AB$3:$AD$600,MATCH(1,($AB$3:$AB$600=W168)*($AC$3:$AC$600=X168),0),3),"Don’t Exists"),"")</f>
        <v/>
      </c>
      <c r="AA168" s="2" t="str">
        <f t="shared" si="4"/>
        <v/>
      </c>
    </row>
    <row r="169" spans="22:27" x14ac:dyDescent="0.15">
      <c r="V169" s="2" t="str">
        <f t="shared" si="5"/>
        <v/>
      </c>
      <c r="Y169" s="2" t="str">
        <f t="array" ref="Y169">IF(X169&lt;&gt;"",IFERROR(INDEX($AB$3:$AD$600,MATCH(1,($AB$3:$AB$600=W169)*($AC$3:$AC$600=X169),0),3),"Don’t Exists"),"")</f>
        <v/>
      </c>
      <c r="AA169" s="2" t="str">
        <f t="shared" si="4"/>
        <v/>
      </c>
    </row>
    <row r="170" spans="22:27" x14ac:dyDescent="0.15">
      <c r="V170" s="2" t="str">
        <f t="shared" si="5"/>
        <v/>
      </c>
      <c r="Y170" s="2" t="str">
        <f t="array" ref="Y170">IF(X170&lt;&gt;"",IFERROR(INDEX($AB$3:$AD$600,MATCH(1,($AB$3:$AB$600=W170)*($AC$3:$AC$600=X170),0),3),"Don’t Exists"),"")</f>
        <v/>
      </c>
      <c r="AA170" s="2" t="str">
        <f t="shared" si="4"/>
        <v/>
      </c>
    </row>
    <row r="171" spans="22:27" x14ac:dyDescent="0.15">
      <c r="V171" s="2" t="str">
        <f t="shared" si="5"/>
        <v/>
      </c>
      <c r="Y171" s="2" t="str">
        <f t="array" ref="Y171">IF(X171&lt;&gt;"",IFERROR(INDEX($AB$3:$AD$600,MATCH(1,($AB$3:$AB$600=W171)*($AC$3:$AC$600=X171),0),3),"Don’t Exists"),"")</f>
        <v/>
      </c>
      <c r="AA171" s="2" t="str">
        <f t="shared" si="4"/>
        <v/>
      </c>
    </row>
    <row r="172" spans="22:27" x14ac:dyDescent="0.15">
      <c r="V172" s="2" t="str">
        <f t="shared" si="5"/>
        <v/>
      </c>
      <c r="Y172" s="2" t="str">
        <f t="array" ref="Y172">IF(X172&lt;&gt;"",IFERROR(INDEX($AB$3:$AD$600,MATCH(1,($AB$3:$AB$600=W172)*($AC$3:$AC$600=X172),0),3),"Don’t Exists"),"")</f>
        <v/>
      </c>
      <c r="AA172" s="2" t="str">
        <f t="shared" si="4"/>
        <v/>
      </c>
    </row>
    <row r="173" spans="22:27" x14ac:dyDescent="0.15">
      <c r="V173" s="2" t="str">
        <f t="shared" si="5"/>
        <v/>
      </c>
      <c r="Y173" s="2" t="str">
        <f t="array" ref="Y173">IF(X173&lt;&gt;"",IFERROR(INDEX($AB$3:$AD$600,MATCH(1,($AB$3:$AB$600=W173)*($AC$3:$AC$600=X173),0),3),"Don’t Exists"),"")</f>
        <v/>
      </c>
      <c r="AA173" s="2" t="str">
        <f t="shared" si="4"/>
        <v/>
      </c>
    </row>
    <row r="174" spans="22:27" x14ac:dyDescent="0.15">
      <c r="V174" s="2" t="str">
        <f t="shared" si="5"/>
        <v/>
      </c>
      <c r="Y174" s="2" t="str">
        <f t="array" ref="Y174">IF(X174&lt;&gt;"",IFERROR(INDEX($AB$3:$AD$600,MATCH(1,($AB$3:$AB$600=W174)*($AC$3:$AC$600=X174),0),3),"Don’t Exists"),"")</f>
        <v/>
      </c>
      <c r="AA174" s="2" t="str">
        <f t="shared" si="4"/>
        <v/>
      </c>
    </row>
    <row r="175" spans="22:27" x14ac:dyDescent="0.15">
      <c r="V175" s="2" t="str">
        <f t="shared" si="5"/>
        <v/>
      </c>
      <c r="Y175" s="2" t="str">
        <f t="array" ref="Y175">IF(X175&lt;&gt;"",IFERROR(INDEX($AB$3:$AD$600,MATCH(1,($AB$3:$AB$600=W175)*($AC$3:$AC$600=X175),0),3),"Don’t Exists"),"")</f>
        <v/>
      </c>
      <c r="AA175" s="2" t="str">
        <f t="shared" si="4"/>
        <v/>
      </c>
    </row>
    <row r="176" spans="22:27" x14ac:dyDescent="0.15">
      <c r="V176" s="2" t="str">
        <f t="shared" si="5"/>
        <v/>
      </c>
      <c r="Y176" s="2" t="str">
        <f t="array" ref="Y176">IF(X176&lt;&gt;"",IFERROR(INDEX($AB$3:$AD$600,MATCH(1,($AB$3:$AB$600=W176)*($AC$3:$AC$600=X176),0),3),"Don’t Exists"),"")</f>
        <v/>
      </c>
      <c r="AA176" s="2" t="str">
        <f t="shared" si="4"/>
        <v/>
      </c>
    </row>
    <row r="177" spans="22:27" x14ac:dyDescent="0.15">
      <c r="V177" s="2" t="str">
        <f t="shared" si="5"/>
        <v/>
      </c>
      <c r="Y177" s="2" t="str">
        <f t="array" ref="Y177">IF(X177&lt;&gt;"",IFERROR(INDEX($AB$3:$AD$600,MATCH(1,($AB$3:$AB$600=W177)*($AC$3:$AC$600=X177),0),3),"Don’t Exists"),"")</f>
        <v/>
      </c>
      <c r="AA177" s="2" t="str">
        <f t="shared" si="4"/>
        <v/>
      </c>
    </row>
    <row r="178" spans="22:27" x14ac:dyDescent="0.15">
      <c r="V178" s="2" t="str">
        <f t="shared" si="5"/>
        <v/>
      </c>
      <c r="Y178" s="2" t="str">
        <f t="array" ref="Y178">IF(X178&lt;&gt;"",IFERROR(INDEX($AB$3:$AD$600,MATCH(1,($AB$3:$AB$600=W178)*($AC$3:$AC$600=X178),0),3),"Don’t Exists"),"")</f>
        <v/>
      </c>
      <c r="AA178" s="2" t="str">
        <f t="shared" si="4"/>
        <v/>
      </c>
    </row>
    <row r="179" spans="22:27" x14ac:dyDescent="0.15">
      <c r="V179" s="2" t="str">
        <f t="shared" si="5"/>
        <v/>
      </c>
      <c r="Y179" s="2" t="str">
        <f t="array" ref="Y179">IF(X179&lt;&gt;"",IFERROR(INDEX($AB$3:$AD$600,MATCH(1,($AB$3:$AB$600=W179)*($AC$3:$AC$600=X179),0),3),"Don’t Exists"),"")</f>
        <v/>
      </c>
      <c r="AA179" s="2" t="str">
        <f t="shared" si="4"/>
        <v/>
      </c>
    </row>
    <row r="180" spans="22:27" x14ac:dyDescent="0.15">
      <c r="V180" s="2" t="str">
        <f t="shared" si="5"/>
        <v/>
      </c>
      <c r="Y180" s="2" t="str">
        <f t="array" ref="Y180">IF(X180&lt;&gt;"",IFERROR(INDEX($AB$3:$AD$600,MATCH(1,($AB$3:$AB$600=W180)*($AC$3:$AC$600=X180),0),3),"Don’t Exists"),"")</f>
        <v/>
      </c>
      <c r="AA180" s="2" t="str">
        <f t="shared" si="4"/>
        <v/>
      </c>
    </row>
    <row r="181" spans="22:27" x14ac:dyDescent="0.15">
      <c r="V181" s="2" t="str">
        <f t="shared" si="5"/>
        <v/>
      </c>
      <c r="Y181" s="2" t="str">
        <f t="array" ref="Y181">IF(X181&lt;&gt;"",IFERROR(INDEX($AB$3:$AD$600,MATCH(1,($AB$3:$AB$600=W181)*($AC$3:$AC$600=X181),0),3),"Don’t Exists"),"")</f>
        <v/>
      </c>
      <c r="AA181" s="2" t="str">
        <f t="shared" si="4"/>
        <v/>
      </c>
    </row>
    <row r="182" spans="22:27" x14ac:dyDescent="0.15">
      <c r="V182" s="2" t="str">
        <f t="shared" si="5"/>
        <v/>
      </c>
      <c r="Y182" s="2" t="str">
        <f t="array" ref="Y182">IF(X182&lt;&gt;"",IFERROR(INDEX($AB$3:$AD$600,MATCH(1,($AB$3:$AB$600=W182)*($AC$3:$AC$600=X182),0),3),"Don’t Exists"),"")</f>
        <v/>
      </c>
      <c r="AA182" s="2" t="str">
        <f t="shared" si="4"/>
        <v/>
      </c>
    </row>
    <row r="183" spans="22:27" x14ac:dyDescent="0.15">
      <c r="V183" s="2" t="str">
        <f t="shared" si="5"/>
        <v/>
      </c>
      <c r="Y183" s="2" t="str">
        <f t="array" ref="Y183">IF(X183&lt;&gt;"",IFERROR(INDEX($AB$3:$AD$600,MATCH(1,($AB$3:$AB$600=W183)*($AC$3:$AC$600=X183),0),3),"Don’t Exists"),"")</f>
        <v/>
      </c>
      <c r="AA183" s="2" t="str">
        <f t="shared" si="4"/>
        <v/>
      </c>
    </row>
    <row r="184" spans="22:27" x14ac:dyDescent="0.15">
      <c r="V184" s="2" t="str">
        <f t="shared" si="5"/>
        <v/>
      </c>
      <c r="Y184" s="2" t="str">
        <f t="array" ref="Y184">IF(X184&lt;&gt;"",IFERROR(INDEX($AB$3:$AD$600,MATCH(1,($AB$3:$AB$600=W184)*($AC$3:$AC$600=X184),0),3),"Don’t Exists"),"")</f>
        <v/>
      </c>
      <c r="AA184" s="2" t="str">
        <f t="shared" si="4"/>
        <v/>
      </c>
    </row>
    <row r="185" spans="22:27" x14ac:dyDescent="0.15">
      <c r="V185" s="2" t="str">
        <f t="shared" si="5"/>
        <v/>
      </c>
      <c r="Y185" s="2" t="str">
        <f t="array" ref="Y185">IF(X185&lt;&gt;"",IFERROR(INDEX($AB$3:$AD$600,MATCH(1,($AB$3:$AB$600=W185)*($AC$3:$AC$600=X185),0),3),"Don’t Exists"),"")</f>
        <v/>
      </c>
      <c r="AA185" s="2" t="str">
        <f t="shared" si="4"/>
        <v/>
      </c>
    </row>
    <row r="186" spans="22:27" x14ac:dyDescent="0.15">
      <c r="V186" s="2" t="str">
        <f t="shared" si="5"/>
        <v/>
      </c>
      <c r="Y186" s="2" t="str">
        <f t="array" ref="Y186">IF(X186&lt;&gt;"",IFERROR(INDEX($AB$3:$AD$600,MATCH(1,($AB$3:$AB$600=W186)*($AC$3:$AC$600=X186),0),3),"Don’t Exists"),"")</f>
        <v/>
      </c>
      <c r="AA186" s="2" t="str">
        <f t="shared" si="4"/>
        <v/>
      </c>
    </row>
    <row r="187" spans="22:27" x14ac:dyDescent="0.15">
      <c r="V187" s="2" t="str">
        <f t="shared" si="5"/>
        <v/>
      </c>
      <c r="Y187" s="2" t="str">
        <f t="array" ref="Y187">IF(X187&lt;&gt;"",IFERROR(INDEX($AB$3:$AD$600,MATCH(1,($AB$3:$AB$600=W187)*($AC$3:$AC$600=X187),0),3),"Don’t Exists"),"")</f>
        <v/>
      </c>
      <c r="AA187" s="2" t="str">
        <f t="shared" si="4"/>
        <v/>
      </c>
    </row>
    <row r="188" spans="22:27" x14ac:dyDescent="0.15">
      <c r="V188" s="2" t="str">
        <f t="shared" si="5"/>
        <v/>
      </c>
      <c r="Y188" s="2" t="str">
        <f t="array" ref="Y188">IF(X188&lt;&gt;"",IFERROR(INDEX($AB$3:$AD$600,MATCH(1,($AB$3:$AB$600=W188)*($AC$3:$AC$600=X188),0),3),"Don’t Exists"),"")</f>
        <v/>
      </c>
      <c r="AA188" s="2" t="str">
        <f t="shared" si="4"/>
        <v/>
      </c>
    </row>
    <row r="189" spans="22:27" x14ac:dyDescent="0.15">
      <c r="V189" s="2" t="str">
        <f t="shared" si="5"/>
        <v/>
      </c>
      <c r="Y189" s="2" t="str">
        <f t="array" ref="Y189">IF(X189&lt;&gt;"",IFERROR(INDEX($AB$3:$AD$600,MATCH(1,($AB$3:$AB$600=W189)*($AC$3:$AC$600=X189),0),3),"Don’t Exists"),"")</f>
        <v/>
      </c>
      <c r="AA189" s="2" t="str">
        <f t="shared" si="4"/>
        <v/>
      </c>
    </row>
    <row r="190" spans="22:27" x14ac:dyDescent="0.15">
      <c r="V190" s="2" t="str">
        <f t="shared" si="5"/>
        <v/>
      </c>
      <c r="Y190" s="2" t="str">
        <f t="array" ref="Y190">IF(X190&lt;&gt;"",IFERROR(INDEX($AB$3:$AD$600,MATCH(1,($AB$3:$AB$600=W190)*($AC$3:$AC$600=X190),0),3),"Don’t Exists"),"")</f>
        <v/>
      </c>
      <c r="AA190" s="2" t="str">
        <f t="shared" si="4"/>
        <v/>
      </c>
    </row>
    <row r="191" spans="22:27" x14ac:dyDescent="0.15">
      <c r="V191" s="2" t="str">
        <f t="shared" si="5"/>
        <v/>
      </c>
      <c r="Y191" s="2" t="str">
        <f t="array" ref="Y191">IF(X191&lt;&gt;"",IFERROR(INDEX($AB$3:$AD$600,MATCH(1,($AB$3:$AB$600=W191)*($AC$3:$AC$600=X191),0),3),"Don’t Exists"),"")</f>
        <v/>
      </c>
      <c r="AA191" s="2" t="str">
        <f t="shared" si="4"/>
        <v/>
      </c>
    </row>
    <row r="192" spans="22:27" x14ac:dyDescent="0.15">
      <c r="V192" s="2" t="str">
        <f t="shared" si="5"/>
        <v/>
      </c>
      <c r="Y192" s="2" t="str">
        <f t="array" ref="Y192">IF(X192&lt;&gt;"",IFERROR(INDEX($AB$3:$AD$600,MATCH(1,($AB$3:$AB$600=W192)*($AC$3:$AC$600=X192),0),3),"Don’t Exists"),"")</f>
        <v/>
      </c>
      <c r="AA192" s="2" t="str">
        <f t="shared" si="4"/>
        <v/>
      </c>
    </row>
    <row r="193" spans="22:27" x14ac:dyDescent="0.15">
      <c r="V193" s="2" t="str">
        <f t="shared" si="5"/>
        <v/>
      </c>
      <c r="Y193" s="2" t="str">
        <f t="array" ref="Y193">IF(X193&lt;&gt;"",IFERROR(INDEX($AB$3:$AD$600,MATCH(1,($AB$3:$AB$600=W193)*($AC$3:$AC$600=X193),0),3),"Don’t Exists"),"")</f>
        <v/>
      </c>
      <c r="AA193" s="2" t="str">
        <f t="shared" si="4"/>
        <v/>
      </c>
    </row>
    <row r="194" spans="22:27" x14ac:dyDescent="0.15">
      <c r="V194" s="2" t="str">
        <f t="shared" si="5"/>
        <v/>
      </c>
      <c r="Y194" s="2" t="str">
        <f t="array" ref="Y194">IF(X194&lt;&gt;"",IFERROR(INDEX($AB$3:$AD$600,MATCH(1,($AB$3:$AB$600=W194)*($AC$3:$AC$600=X194),0),3),"Don’t Exists"),"")</f>
        <v/>
      </c>
      <c r="AA194" s="2" t="str">
        <f t="shared" si="4"/>
        <v/>
      </c>
    </row>
    <row r="195" spans="22:27" x14ac:dyDescent="0.15">
      <c r="V195" s="2" t="str">
        <f t="shared" si="5"/>
        <v/>
      </c>
      <c r="Y195" s="2" t="str">
        <f t="array" ref="Y195">IF(X195&lt;&gt;"",IFERROR(INDEX($AB$3:$AD$600,MATCH(1,($AB$3:$AB$600=W195)*($AC$3:$AC$600=X195),0),3),"Don’t Exists"),"")</f>
        <v/>
      </c>
      <c r="AA195" s="2" t="str">
        <f t="shared" si="4"/>
        <v/>
      </c>
    </row>
    <row r="196" spans="22:27" x14ac:dyDescent="0.15">
      <c r="V196" s="2" t="str">
        <f t="shared" si="5"/>
        <v/>
      </c>
      <c r="Y196" s="2" t="str">
        <f t="array" ref="Y196">IF(X196&lt;&gt;"",IFERROR(INDEX($AB$3:$AD$600,MATCH(1,($AB$3:$AB$600=W196)*($AC$3:$AC$600=X196),0),3),"Don’t Exists"),"")</f>
        <v/>
      </c>
      <c r="AA196" s="2" t="str">
        <f t="shared" ref="AA196:AA259" si="6">IF(AC196&lt;&gt;"",ROW()-2,"")</f>
        <v/>
      </c>
    </row>
    <row r="197" spans="22:27" x14ac:dyDescent="0.15">
      <c r="V197" s="2" t="str">
        <f t="shared" si="5"/>
        <v/>
      </c>
      <c r="Y197" s="2" t="str">
        <f t="array" ref="Y197">IF(X197&lt;&gt;"",IFERROR(INDEX($AB$3:$AD$600,MATCH(1,($AB$3:$AB$600=W197)*($AC$3:$AC$600=X197),0),3),"Don’t Exists"),"")</f>
        <v/>
      </c>
      <c r="AA197" s="2" t="str">
        <f t="shared" si="6"/>
        <v/>
      </c>
    </row>
    <row r="198" spans="22:27" x14ac:dyDescent="0.15">
      <c r="V198" s="2" t="str">
        <f t="shared" si="5"/>
        <v/>
      </c>
      <c r="Y198" s="2" t="str">
        <f t="array" ref="Y198">IF(X198&lt;&gt;"",IFERROR(INDEX($AB$3:$AD$600,MATCH(1,($AB$3:$AB$600=W198)*($AC$3:$AC$600=X198),0),3),"Don’t Exists"),"")</f>
        <v/>
      </c>
      <c r="AA198" s="2" t="str">
        <f t="shared" si="6"/>
        <v/>
      </c>
    </row>
    <row r="199" spans="22:27" x14ac:dyDescent="0.15">
      <c r="V199" s="2" t="str">
        <f t="shared" si="5"/>
        <v/>
      </c>
      <c r="Y199" s="2" t="str">
        <f t="array" ref="Y199">IF(X199&lt;&gt;"",IFERROR(INDEX($AB$3:$AD$600,MATCH(1,($AB$3:$AB$600=W199)*($AC$3:$AC$600=X199),0),3),"Don’t Exists"),"")</f>
        <v/>
      </c>
      <c r="AA199" s="2" t="str">
        <f t="shared" si="6"/>
        <v/>
      </c>
    </row>
    <row r="200" spans="22:27" x14ac:dyDescent="0.15">
      <c r="V200" s="2" t="str">
        <f t="shared" si="5"/>
        <v/>
      </c>
      <c r="Y200" s="2" t="str">
        <f t="array" ref="Y200">IF(X200&lt;&gt;"",IFERROR(INDEX($AB$3:$AD$600,MATCH(1,($AB$3:$AB$600=W200)*($AC$3:$AC$600=X200),0),3),"Don’t Exists"),"")</f>
        <v/>
      </c>
      <c r="AA200" s="2" t="str">
        <f t="shared" si="6"/>
        <v/>
      </c>
    </row>
    <row r="201" spans="22:27" x14ac:dyDescent="0.15">
      <c r="V201" s="2" t="str">
        <f t="shared" si="5"/>
        <v/>
      </c>
      <c r="Y201" s="2" t="str">
        <f t="array" ref="Y201">IF(X201&lt;&gt;"",IFERROR(INDEX($AB$3:$AD$600,MATCH(1,($AB$3:$AB$600=W201)*($AC$3:$AC$600=X201),0),3),"Don’t Exists"),"")</f>
        <v/>
      </c>
      <c r="AA201" s="2" t="str">
        <f t="shared" si="6"/>
        <v/>
      </c>
    </row>
    <row r="202" spans="22:27" x14ac:dyDescent="0.15">
      <c r="V202" s="2" t="str">
        <f t="shared" si="5"/>
        <v/>
      </c>
      <c r="Y202" s="2" t="str">
        <f t="array" ref="Y202">IF(X202&lt;&gt;"",IFERROR(INDEX($AB$3:$AD$600,MATCH(1,($AB$3:$AB$600=W202)*($AC$3:$AC$600=X202),0),3),"Don’t Exists"),"")</f>
        <v/>
      </c>
      <c r="AA202" s="2" t="str">
        <f t="shared" si="6"/>
        <v/>
      </c>
    </row>
    <row r="203" spans="22:27" x14ac:dyDescent="0.15">
      <c r="V203" s="2" t="str">
        <f t="shared" si="5"/>
        <v/>
      </c>
      <c r="Y203" s="2" t="str">
        <f t="array" ref="Y203">IF(X203&lt;&gt;"",IFERROR(INDEX($AB$3:$AD$600,MATCH(1,($AB$3:$AB$600=W203)*($AC$3:$AC$600=X203),0),3),"Don’t Exists"),"")</f>
        <v/>
      </c>
      <c r="AA203" s="2" t="str">
        <f t="shared" si="6"/>
        <v/>
      </c>
    </row>
    <row r="204" spans="22:27" x14ac:dyDescent="0.15">
      <c r="V204" s="2" t="str">
        <f t="shared" si="5"/>
        <v/>
      </c>
      <c r="Y204" s="2" t="str">
        <f t="array" ref="Y204">IF(X204&lt;&gt;"",IFERROR(INDEX($AB$3:$AD$600,MATCH(1,($AB$3:$AB$600=W204)*($AC$3:$AC$600=X204),0),3),"Don’t Exists"),"")</f>
        <v/>
      </c>
      <c r="AA204" s="2" t="str">
        <f t="shared" si="6"/>
        <v/>
      </c>
    </row>
    <row r="205" spans="22:27" x14ac:dyDescent="0.15">
      <c r="V205" s="2" t="str">
        <f t="shared" ref="V205:V268" si="7">IF(X205&lt;&gt;"",ROW()-ROW(V$11),"")</f>
        <v/>
      </c>
      <c r="Y205" s="2" t="str">
        <f t="array" ref="Y205">IF(X205&lt;&gt;"",IFERROR(INDEX($AB$3:$AD$600,MATCH(1,($AB$3:$AB$600=W205)*($AC$3:$AC$600=X205),0),3),"Don’t Exists"),"")</f>
        <v/>
      </c>
      <c r="AA205" s="2" t="str">
        <f t="shared" si="6"/>
        <v/>
      </c>
    </row>
    <row r="206" spans="22:27" x14ac:dyDescent="0.15">
      <c r="V206" s="2" t="str">
        <f t="shared" si="7"/>
        <v/>
      </c>
      <c r="Y206" s="2" t="str">
        <f t="array" ref="Y206">IF(X206&lt;&gt;"",IFERROR(INDEX($AB$3:$AD$600,MATCH(1,($AB$3:$AB$600=W206)*($AC$3:$AC$600=X206),0),3),"Don’t Exists"),"")</f>
        <v/>
      </c>
      <c r="AA206" s="2" t="str">
        <f t="shared" si="6"/>
        <v/>
      </c>
    </row>
    <row r="207" spans="22:27" x14ac:dyDescent="0.15">
      <c r="V207" s="2" t="str">
        <f t="shared" si="7"/>
        <v/>
      </c>
      <c r="Y207" s="2" t="str">
        <f t="array" ref="Y207">IF(X207&lt;&gt;"",IFERROR(INDEX($AB$3:$AD$600,MATCH(1,($AB$3:$AB$600=W207)*($AC$3:$AC$600=X207),0),3),"Don’t Exists"),"")</f>
        <v/>
      </c>
      <c r="AA207" s="2" t="str">
        <f t="shared" si="6"/>
        <v/>
      </c>
    </row>
    <row r="208" spans="22:27" x14ac:dyDescent="0.15">
      <c r="V208" s="2" t="str">
        <f t="shared" si="7"/>
        <v/>
      </c>
      <c r="Y208" s="2" t="str">
        <f t="array" ref="Y208">IF(X208&lt;&gt;"",IFERROR(INDEX($AB$3:$AD$600,MATCH(1,($AB$3:$AB$600=W208)*($AC$3:$AC$600=X208),0),3),"Don’t Exists"),"")</f>
        <v/>
      </c>
      <c r="AA208" s="2" t="str">
        <f t="shared" si="6"/>
        <v/>
      </c>
    </row>
    <row r="209" spans="22:27" x14ac:dyDescent="0.15">
      <c r="V209" s="2" t="str">
        <f t="shared" si="7"/>
        <v/>
      </c>
      <c r="Y209" s="2" t="str">
        <f t="array" ref="Y209">IF(X209&lt;&gt;"",IFERROR(INDEX($AB$3:$AD$600,MATCH(1,($AB$3:$AB$600=W209)*($AC$3:$AC$600=X209),0),3),"Don’t Exists"),"")</f>
        <v/>
      </c>
      <c r="AA209" s="2" t="str">
        <f t="shared" si="6"/>
        <v/>
      </c>
    </row>
    <row r="210" spans="22:27" x14ac:dyDescent="0.15">
      <c r="V210" s="2" t="str">
        <f t="shared" si="7"/>
        <v/>
      </c>
      <c r="Y210" s="2" t="str">
        <f t="array" ref="Y210">IF(X210&lt;&gt;"",IFERROR(INDEX($AB$3:$AD$600,MATCH(1,($AB$3:$AB$600=W210)*($AC$3:$AC$600=X210),0),3),"Don’t Exists"),"")</f>
        <v/>
      </c>
      <c r="AA210" s="2" t="str">
        <f t="shared" si="6"/>
        <v/>
      </c>
    </row>
    <row r="211" spans="22:27" x14ac:dyDescent="0.15">
      <c r="V211" s="2" t="str">
        <f t="shared" si="7"/>
        <v/>
      </c>
      <c r="Y211" s="2" t="str">
        <f t="array" ref="Y211">IF(X211&lt;&gt;"",IFERROR(INDEX($AB$3:$AD$600,MATCH(1,($AB$3:$AB$600=W211)*($AC$3:$AC$600=X211),0),3),"Don’t Exists"),"")</f>
        <v/>
      </c>
      <c r="AA211" s="2" t="str">
        <f t="shared" si="6"/>
        <v/>
      </c>
    </row>
    <row r="212" spans="22:27" x14ac:dyDescent="0.15">
      <c r="V212" s="2" t="str">
        <f t="shared" si="7"/>
        <v/>
      </c>
      <c r="Y212" s="2" t="str">
        <f t="array" ref="Y212">IF(X212&lt;&gt;"",IFERROR(INDEX($AB$3:$AD$600,MATCH(1,($AB$3:$AB$600=W212)*($AC$3:$AC$600=X212),0),3),"Don’t Exists"),"")</f>
        <v/>
      </c>
      <c r="AA212" s="2" t="str">
        <f t="shared" si="6"/>
        <v/>
      </c>
    </row>
    <row r="213" spans="22:27" x14ac:dyDescent="0.15">
      <c r="V213" s="2" t="str">
        <f t="shared" si="7"/>
        <v/>
      </c>
      <c r="Y213" s="2" t="str">
        <f t="array" ref="Y213">IF(X213&lt;&gt;"",IFERROR(INDEX($AB$3:$AD$600,MATCH(1,($AB$3:$AB$600=W213)*($AC$3:$AC$600=X213),0),3),"Don’t Exists"),"")</f>
        <v/>
      </c>
      <c r="AA213" s="2" t="str">
        <f t="shared" si="6"/>
        <v/>
      </c>
    </row>
    <row r="214" spans="22:27" x14ac:dyDescent="0.15">
      <c r="V214" s="2" t="str">
        <f t="shared" si="7"/>
        <v/>
      </c>
      <c r="Y214" s="2" t="str">
        <f t="array" ref="Y214">IF(X214&lt;&gt;"",IFERROR(INDEX($AB$3:$AD$600,MATCH(1,($AB$3:$AB$600=W214)*($AC$3:$AC$600=X214),0),3),"Don’t Exists"),"")</f>
        <v/>
      </c>
      <c r="AA214" s="2" t="str">
        <f t="shared" si="6"/>
        <v/>
      </c>
    </row>
    <row r="215" spans="22:27" x14ac:dyDescent="0.15">
      <c r="V215" s="2" t="str">
        <f t="shared" si="7"/>
        <v/>
      </c>
      <c r="Y215" s="2" t="str">
        <f t="array" ref="Y215">IF(X215&lt;&gt;"",IFERROR(INDEX($AB$3:$AD$600,MATCH(1,($AB$3:$AB$600=W215)*($AC$3:$AC$600=X215),0),3),"Don’t Exists"),"")</f>
        <v/>
      </c>
      <c r="AA215" s="2" t="str">
        <f t="shared" si="6"/>
        <v/>
      </c>
    </row>
    <row r="216" spans="22:27" x14ac:dyDescent="0.15">
      <c r="V216" s="2" t="str">
        <f t="shared" si="7"/>
        <v/>
      </c>
      <c r="Y216" s="2" t="str">
        <f t="array" ref="Y216">IF(X216&lt;&gt;"",IFERROR(INDEX($AB$3:$AD$600,MATCH(1,($AB$3:$AB$600=W216)*($AC$3:$AC$600=X216),0),3),"Don’t Exists"),"")</f>
        <v/>
      </c>
      <c r="AA216" s="2" t="str">
        <f t="shared" si="6"/>
        <v/>
      </c>
    </row>
    <row r="217" spans="22:27" x14ac:dyDescent="0.15">
      <c r="V217" s="2" t="str">
        <f t="shared" si="7"/>
        <v/>
      </c>
      <c r="Y217" s="2" t="str">
        <f t="array" ref="Y217">IF(X217&lt;&gt;"",IFERROR(INDEX($AB$3:$AD$600,MATCH(1,($AB$3:$AB$600=W217)*($AC$3:$AC$600=X217),0),3),"Don’t Exists"),"")</f>
        <v/>
      </c>
      <c r="AA217" s="2" t="str">
        <f t="shared" si="6"/>
        <v/>
      </c>
    </row>
    <row r="218" spans="22:27" x14ac:dyDescent="0.15">
      <c r="V218" s="2" t="str">
        <f t="shared" si="7"/>
        <v/>
      </c>
      <c r="Y218" s="2" t="str">
        <f t="array" ref="Y218">IF(X218&lt;&gt;"",IFERROR(INDEX($AB$3:$AD$600,MATCH(1,($AB$3:$AB$600=W218)*($AC$3:$AC$600=X218),0),3),"Don’t Exists"),"")</f>
        <v/>
      </c>
      <c r="AA218" s="2" t="str">
        <f t="shared" si="6"/>
        <v/>
      </c>
    </row>
    <row r="219" spans="22:27" x14ac:dyDescent="0.15">
      <c r="V219" s="2" t="str">
        <f t="shared" si="7"/>
        <v/>
      </c>
      <c r="Y219" s="2" t="str">
        <f t="array" ref="Y219">IF(X219&lt;&gt;"",IFERROR(INDEX($AB$3:$AD$600,MATCH(1,($AB$3:$AB$600=W219)*($AC$3:$AC$600=X219),0),3),"Don’t Exists"),"")</f>
        <v/>
      </c>
      <c r="AA219" s="2" t="str">
        <f t="shared" si="6"/>
        <v/>
      </c>
    </row>
    <row r="220" spans="22:27" x14ac:dyDescent="0.15">
      <c r="V220" s="2" t="str">
        <f t="shared" si="7"/>
        <v/>
      </c>
      <c r="Y220" s="2" t="str">
        <f t="array" ref="Y220">IF(X220&lt;&gt;"",IFERROR(INDEX($AB$3:$AD$600,MATCH(1,($AB$3:$AB$600=W220)*($AC$3:$AC$600=X220),0),3),"Don’t Exists"),"")</f>
        <v/>
      </c>
      <c r="AA220" s="2" t="str">
        <f t="shared" si="6"/>
        <v/>
      </c>
    </row>
    <row r="221" spans="22:27" x14ac:dyDescent="0.15">
      <c r="V221" s="2" t="str">
        <f t="shared" si="7"/>
        <v/>
      </c>
      <c r="Y221" s="2" t="str">
        <f t="array" ref="Y221">IF(X221&lt;&gt;"",IFERROR(INDEX($AB$3:$AD$600,MATCH(1,($AB$3:$AB$600=W221)*($AC$3:$AC$600=X221),0),3),"Don’t Exists"),"")</f>
        <v/>
      </c>
      <c r="AA221" s="2" t="str">
        <f t="shared" si="6"/>
        <v/>
      </c>
    </row>
    <row r="222" spans="22:27" x14ac:dyDescent="0.15">
      <c r="V222" s="2" t="str">
        <f t="shared" si="7"/>
        <v/>
      </c>
      <c r="Y222" s="2" t="str">
        <f t="array" ref="Y222">IF(X222&lt;&gt;"",IFERROR(INDEX($AB$3:$AD$600,MATCH(1,($AB$3:$AB$600=W222)*($AC$3:$AC$600=X222),0),3),"Don’t Exists"),"")</f>
        <v/>
      </c>
      <c r="AA222" s="2" t="str">
        <f t="shared" si="6"/>
        <v/>
      </c>
    </row>
    <row r="223" spans="22:27" x14ac:dyDescent="0.15">
      <c r="V223" s="2" t="str">
        <f t="shared" si="7"/>
        <v/>
      </c>
      <c r="Y223" s="2" t="str">
        <f t="array" ref="Y223">IF(X223&lt;&gt;"",IFERROR(INDEX($AB$3:$AD$600,MATCH(1,($AB$3:$AB$600=W223)*($AC$3:$AC$600=X223),0),3),"Don’t Exists"),"")</f>
        <v/>
      </c>
      <c r="AA223" s="2" t="str">
        <f t="shared" si="6"/>
        <v/>
      </c>
    </row>
    <row r="224" spans="22:27" x14ac:dyDescent="0.15">
      <c r="V224" s="2" t="str">
        <f t="shared" si="7"/>
        <v/>
      </c>
      <c r="Y224" s="2" t="str">
        <f t="array" ref="Y224">IF(X224&lt;&gt;"",IFERROR(INDEX($AB$3:$AD$600,MATCH(1,($AB$3:$AB$600=W224)*($AC$3:$AC$600=X224),0),3),"Don’t Exists"),"")</f>
        <v/>
      </c>
      <c r="AA224" s="2" t="str">
        <f t="shared" si="6"/>
        <v/>
      </c>
    </row>
    <row r="225" spans="22:27" x14ac:dyDescent="0.15">
      <c r="V225" s="2" t="str">
        <f t="shared" si="7"/>
        <v/>
      </c>
      <c r="Y225" s="2" t="str">
        <f t="array" ref="Y225">IF(X225&lt;&gt;"",IFERROR(INDEX($AB$3:$AD$600,MATCH(1,($AB$3:$AB$600=W225)*($AC$3:$AC$600=X225),0),3),"Don’t Exists"),"")</f>
        <v/>
      </c>
      <c r="AA225" s="2" t="str">
        <f t="shared" si="6"/>
        <v/>
      </c>
    </row>
    <row r="226" spans="22:27" x14ac:dyDescent="0.15">
      <c r="V226" s="2" t="str">
        <f t="shared" si="7"/>
        <v/>
      </c>
      <c r="Y226" s="2" t="str">
        <f t="array" ref="Y226">IF(X226&lt;&gt;"",IFERROR(INDEX($AB$3:$AD$600,MATCH(1,($AB$3:$AB$600=W226)*($AC$3:$AC$600=X226),0),3),"Don’t Exists"),"")</f>
        <v/>
      </c>
      <c r="AA226" s="2" t="str">
        <f t="shared" si="6"/>
        <v/>
      </c>
    </row>
    <row r="227" spans="22:27" x14ac:dyDescent="0.15">
      <c r="V227" s="2" t="str">
        <f t="shared" si="7"/>
        <v/>
      </c>
      <c r="Y227" s="2" t="str">
        <f t="array" ref="Y227">IF(X227&lt;&gt;"",IFERROR(INDEX($AB$3:$AD$600,MATCH(1,($AB$3:$AB$600=W227)*($AC$3:$AC$600=X227),0),3),"Don’t Exists"),"")</f>
        <v/>
      </c>
      <c r="AA227" s="2" t="str">
        <f t="shared" si="6"/>
        <v/>
      </c>
    </row>
    <row r="228" spans="22:27" x14ac:dyDescent="0.15">
      <c r="V228" s="2" t="str">
        <f t="shared" si="7"/>
        <v/>
      </c>
      <c r="Y228" s="2" t="str">
        <f t="array" ref="Y228">IF(X228&lt;&gt;"",IFERROR(INDEX($AB$3:$AD$600,MATCH(1,($AB$3:$AB$600=W228)*($AC$3:$AC$600=X228),0),3),"Don’t Exists"),"")</f>
        <v/>
      </c>
      <c r="AA228" s="2" t="str">
        <f t="shared" si="6"/>
        <v/>
      </c>
    </row>
    <row r="229" spans="22:27" x14ac:dyDescent="0.15">
      <c r="V229" s="2" t="str">
        <f t="shared" si="7"/>
        <v/>
      </c>
      <c r="Y229" s="2" t="str">
        <f t="array" ref="Y229">IF(X229&lt;&gt;"",IFERROR(INDEX($AB$3:$AD$600,MATCH(1,($AB$3:$AB$600=W229)*($AC$3:$AC$600=X229),0),3),"Don’t Exists"),"")</f>
        <v/>
      </c>
      <c r="AA229" s="2" t="str">
        <f t="shared" si="6"/>
        <v/>
      </c>
    </row>
    <row r="230" spans="22:27" x14ac:dyDescent="0.15">
      <c r="V230" s="2" t="str">
        <f t="shared" si="7"/>
        <v/>
      </c>
      <c r="Y230" s="2" t="str">
        <f t="array" ref="Y230">IF(X230&lt;&gt;"",IFERROR(INDEX($AB$3:$AD$600,MATCH(1,($AB$3:$AB$600=W230)*($AC$3:$AC$600=X230),0),3),"Don’t Exists"),"")</f>
        <v/>
      </c>
      <c r="AA230" s="2" t="str">
        <f t="shared" si="6"/>
        <v/>
      </c>
    </row>
    <row r="231" spans="22:27" x14ac:dyDescent="0.15">
      <c r="V231" s="2" t="str">
        <f t="shared" si="7"/>
        <v/>
      </c>
      <c r="Y231" s="2" t="str">
        <f t="array" ref="Y231">IF(X231&lt;&gt;"",IFERROR(INDEX($AB$3:$AD$600,MATCH(1,($AB$3:$AB$600=W231)*($AC$3:$AC$600=X231),0),3),"Don’t Exists"),"")</f>
        <v/>
      </c>
      <c r="AA231" s="2" t="str">
        <f t="shared" si="6"/>
        <v/>
      </c>
    </row>
    <row r="232" spans="22:27" x14ac:dyDescent="0.15">
      <c r="V232" s="2" t="str">
        <f t="shared" si="7"/>
        <v/>
      </c>
      <c r="Y232" s="2" t="str">
        <f t="array" ref="Y232">IF(X232&lt;&gt;"",IFERROR(INDEX($AB$3:$AD$600,MATCH(1,($AB$3:$AB$600=W232)*($AC$3:$AC$600=X232),0),3),"Don’t Exists"),"")</f>
        <v/>
      </c>
      <c r="AA232" s="2" t="str">
        <f t="shared" si="6"/>
        <v/>
      </c>
    </row>
    <row r="233" spans="22:27" x14ac:dyDescent="0.15">
      <c r="V233" s="2" t="str">
        <f t="shared" si="7"/>
        <v/>
      </c>
      <c r="Y233" s="2" t="str">
        <f t="array" ref="Y233">IF(X233&lt;&gt;"",IFERROR(INDEX($AB$3:$AD$600,MATCH(1,($AB$3:$AB$600=W233)*($AC$3:$AC$600=X233),0),3),"Don’t Exists"),"")</f>
        <v/>
      </c>
      <c r="AA233" s="2" t="str">
        <f t="shared" si="6"/>
        <v/>
      </c>
    </row>
    <row r="234" spans="22:27" x14ac:dyDescent="0.15">
      <c r="V234" s="2" t="str">
        <f t="shared" si="7"/>
        <v/>
      </c>
      <c r="Y234" s="2" t="str">
        <f t="array" ref="Y234">IF(X234&lt;&gt;"",IFERROR(INDEX($AB$3:$AD$600,MATCH(1,($AB$3:$AB$600=W234)*($AC$3:$AC$600=X234),0),3),"Don’t Exists"),"")</f>
        <v/>
      </c>
      <c r="AA234" s="2" t="str">
        <f t="shared" si="6"/>
        <v/>
      </c>
    </row>
    <row r="235" spans="22:27" x14ac:dyDescent="0.15">
      <c r="V235" s="2" t="str">
        <f t="shared" si="7"/>
        <v/>
      </c>
      <c r="Y235" s="2" t="str">
        <f t="array" ref="Y235">IF(X235&lt;&gt;"",IFERROR(INDEX($AB$3:$AD$600,MATCH(1,($AB$3:$AB$600=W235)*($AC$3:$AC$600=X235),0),3),"Don’t Exists"),"")</f>
        <v/>
      </c>
      <c r="AA235" s="2" t="str">
        <f t="shared" si="6"/>
        <v/>
      </c>
    </row>
    <row r="236" spans="22:27" x14ac:dyDescent="0.15">
      <c r="V236" s="2" t="str">
        <f t="shared" si="7"/>
        <v/>
      </c>
      <c r="Y236" s="2" t="str">
        <f t="array" ref="Y236">IF(X236&lt;&gt;"",IFERROR(INDEX($AB$3:$AD$600,MATCH(1,($AB$3:$AB$600=W236)*($AC$3:$AC$600=X236),0),3),"Don’t Exists"),"")</f>
        <v/>
      </c>
      <c r="AA236" s="2" t="str">
        <f t="shared" si="6"/>
        <v/>
      </c>
    </row>
    <row r="237" spans="22:27" x14ac:dyDescent="0.15">
      <c r="V237" s="2" t="str">
        <f t="shared" si="7"/>
        <v/>
      </c>
      <c r="Y237" s="2" t="str">
        <f t="array" ref="Y237">IF(X237&lt;&gt;"",IFERROR(INDEX($AB$3:$AD$600,MATCH(1,($AB$3:$AB$600=W237)*($AC$3:$AC$600=X237),0),3),"Don’t Exists"),"")</f>
        <v/>
      </c>
      <c r="AA237" s="2" t="str">
        <f t="shared" si="6"/>
        <v/>
      </c>
    </row>
    <row r="238" spans="22:27" x14ac:dyDescent="0.15">
      <c r="V238" s="2" t="str">
        <f t="shared" si="7"/>
        <v/>
      </c>
      <c r="Y238" s="2" t="str">
        <f t="array" ref="Y238">IF(X238&lt;&gt;"",IFERROR(INDEX($AB$3:$AD$600,MATCH(1,($AB$3:$AB$600=W238)*($AC$3:$AC$600=X238),0),3),"Don’t Exists"),"")</f>
        <v/>
      </c>
      <c r="AA238" s="2" t="str">
        <f t="shared" si="6"/>
        <v/>
      </c>
    </row>
    <row r="239" spans="22:27" x14ac:dyDescent="0.15">
      <c r="V239" s="2" t="str">
        <f t="shared" si="7"/>
        <v/>
      </c>
      <c r="Y239" s="2" t="str">
        <f t="array" ref="Y239">IF(X239&lt;&gt;"",IFERROR(INDEX($AB$3:$AD$600,MATCH(1,($AB$3:$AB$600=W239)*($AC$3:$AC$600=X239),0),3),"Don’t Exists"),"")</f>
        <v/>
      </c>
      <c r="AA239" s="2" t="str">
        <f t="shared" si="6"/>
        <v/>
      </c>
    </row>
    <row r="240" spans="22:27" x14ac:dyDescent="0.15">
      <c r="V240" s="2" t="str">
        <f t="shared" si="7"/>
        <v/>
      </c>
      <c r="Y240" s="2" t="str">
        <f t="array" ref="Y240">IF(X240&lt;&gt;"",IFERROR(INDEX($AB$3:$AD$600,MATCH(1,($AB$3:$AB$600=W240)*($AC$3:$AC$600=X240),0),3),"Don’t Exists"),"")</f>
        <v/>
      </c>
      <c r="AA240" s="2" t="str">
        <f t="shared" si="6"/>
        <v/>
      </c>
    </row>
    <row r="241" spans="22:27" x14ac:dyDescent="0.15">
      <c r="V241" s="2" t="str">
        <f t="shared" si="7"/>
        <v/>
      </c>
      <c r="Y241" s="2" t="str">
        <f t="array" ref="Y241">IF(X241&lt;&gt;"",IFERROR(INDEX($AB$3:$AD$600,MATCH(1,($AB$3:$AB$600=W241)*($AC$3:$AC$600=X241),0),3),"Don’t Exists"),"")</f>
        <v/>
      </c>
      <c r="AA241" s="2" t="str">
        <f t="shared" si="6"/>
        <v/>
      </c>
    </row>
    <row r="242" spans="22:27" x14ac:dyDescent="0.15">
      <c r="V242" s="2" t="str">
        <f t="shared" si="7"/>
        <v/>
      </c>
      <c r="Y242" s="2" t="str">
        <f t="array" ref="Y242">IF(X242&lt;&gt;"",IFERROR(INDEX($AB$3:$AD$600,MATCH(1,($AB$3:$AB$600=W242)*($AC$3:$AC$600=X242),0),3),"Don’t Exists"),"")</f>
        <v/>
      </c>
      <c r="AA242" s="2" t="str">
        <f t="shared" si="6"/>
        <v/>
      </c>
    </row>
    <row r="243" spans="22:27" x14ac:dyDescent="0.15">
      <c r="V243" s="2" t="str">
        <f t="shared" si="7"/>
        <v/>
      </c>
      <c r="Y243" s="2" t="str">
        <f t="array" ref="Y243">IF(X243&lt;&gt;"",IFERROR(INDEX($AB$3:$AD$600,MATCH(1,($AB$3:$AB$600=W243)*($AC$3:$AC$600=X243),0),3),"Don’t Exists"),"")</f>
        <v/>
      </c>
      <c r="AA243" s="2" t="str">
        <f t="shared" si="6"/>
        <v/>
      </c>
    </row>
    <row r="244" spans="22:27" x14ac:dyDescent="0.15">
      <c r="V244" s="2" t="str">
        <f t="shared" si="7"/>
        <v/>
      </c>
      <c r="Y244" s="2" t="str">
        <f t="array" ref="Y244">IF(X244&lt;&gt;"",IFERROR(INDEX($AB$3:$AD$600,MATCH(1,($AB$3:$AB$600=W244)*($AC$3:$AC$600=X244),0),3),"Don’t Exists"),"")</f>
        <v/>
      </c>
      <c r="AA244" s="2" t="str">
        <f t="shared" si="6"/>
        <v/>
      </c>
    </row>
    <row r="245" spans="22:27" x14ac:dyDescent="0.15">
      <c r="V245" s="2" t="str">
        <f t="shared" si="7"/>
        <v/>
      </c>
      <c r="Y245" s="2" t="str">
        <f t="array" ref="Y245">IF(X245&lt;&gt;"",IFERROR(INDEX($AB$3:$AD$600,MATCH(1,($AB$3:$AB$600=W245)*($AC$3:$AC$600=X245),0),3),"Don’t Exists"),"")</f>
        <v/>
      </c>
      <c r="AA245" s="2" t="str">
        <f t="shared" si="6"/>
        <v/>
      </c>
    </row>
    <row r="246" spans="22:27" x14ac:dyDescent="0.15">
      <c r="V246" s="2" t="str">
        <f t="shared" si="7"/>
        <v/>
      </c>
      <c r="Y246" s="2" t="str">
        <f t="array" ref="Y246">IF(X246&lt;&gt;"",IFERROR(INDEX($AB$3:$AD$600,MATCH(1,($AB$3:$AB$600=W246)*($AC$3:$AC$600=X246),0),3),"Don’t Exists"),"")</f>
        <v/>
      </c>
      <c r="AA246" s="2" t="str">
        <f t="shared" si="6"/>
        <v/>
      </c>
    </row>
    <row r="247" spans="22:27" x14ac:dyDescent="0.15">
      <c r="V247" s="2" t="str">
        <f t="shared" si="7"/>
        <v/>
      </c>
      <c r="Y247" s="2" t="str">
        <f t="array" ref="Y247">IF(X247&lt;&gt;"",IFERROR(INDEX($AB$3:$AD$600,MATCH(1,($AB$3:$AB$600=W247)*($AC$3:$AC$600=X247),0),3),"Don’t Exists"),"")</f>
        <v/>
      </c>
      <c r="AA247" s="2" t="str">
        <f t="shared" si="6"/>
        <v/>
      </c>
    </row>
    <row r="248" spans="22:27" x14ac:dyDescent="0.15">
      <c r="V248" s="2" t="str">
        <f t="shared" si="7"/>
        <v/>
      </c>
      <c r="Y248" s="2" t="str">
        <f t="array" ref="Y248">IF(X248&lt;&gt;"",IFERROR(INDEX($AB$3:$AD$600,MATCH(1,($AB$3:$AB$600=W248)*($AC$3:$AC$600=X248),0),3),"Don’t Exists"),"")</f>
        <v/>
      </c>
      <c r="AA248" s="2" t="str">
        <f t="shared" si="6"/>
        <v/>
      </c>
    </row>
    <row r="249" spans="22:27" x14ac:dyDescent="0.15">
      <c r="V249" s="2" t="str">
        <f t="shared" si="7"/>
        <v/>
      </c>
      <c r="Y249" s="2" t="str">
        <f t="array" ref="Y249">IF(X249&lt;&gt;"",IFERROR(INDEX($AB$3:$AD$600,MATCH(1,($AB$3:$AB$600=W249)*($AC$3:$AC$600=X249),0),3),"Don’t Exists"),"")</f>
        <v/>
      </c>
      <c r="AA249" s="2" t="str">
        <f t="shared" si="6"/>
        <v/>
      </c>
    </row>
    <row r="250" spans="22:27" x14ac:dyDescent="0.15">
      <c r="V250" s="2" t="str">
        <f t="shared" si="7"/>
        <v/>
      </c>
      <c r="Y250" s="2" t="str">
        <f t="array" ref="Y250">IF(X250&lt;&gt;"",IFERROR(INDEX($AB$3:$AD$600,MATCH(1,($AB$3:$AB$600=W250)*($AC$3:$AC$600=X250),0),3),"Don’t Exists"),"")</f>
        <v/>
      </c>
      <c r="AA250" s="2" t="str">
        <f t="shared" si="6"/>
        <v/>
      </c>
    </row>
    <row r="251" spans="22:27" x14ac:dyDescent="0.15">
      <c r="V251" s="2" t="str">
        <f t="shared" si="7"/>
        <v/>
      </c>
      <c r="Y251" s="2" t="str">
        <f t="array" ref="Y251">IF(X251&lt;&gt;"",IFERROR(INDEX($AB$3:$AD$600,MATCH(1,($AB$3:$AB$600=W251)*($AC$3:$AC$600=X251),0),3),"Don’t Exists"),"")</f>
        <v/>
      </c>
      <c r="AA251" s="2" t="str">
        <f t="shared" si="6"/>
        <v/>
      </c>
    </row>
    <row r="252" spans="22:27" x14ac:dyDescent="0.15">
      <c r="V252" s="2" t="str">
        <f t="shared" si="7"/>
        <v/>
      </c>
      <c r="Y252" s="2" t="str">
        <f t="array" ref="Y252">IF(X252&lt;&gt;"",IFERROR(INDEX($AB$3:$AD$600,MATCH(1,($AB$3:$AB$600=W252)*($AC$3:$AC$600=X252),0),3),"Don’t Exists"),"")</f>
        <v/>
      </c>
      <c r="AA252" s="2" t="str">
        <f t="shared" si="6"/>
        <v/>
      </c>
    </row>
    <row r="253" spans="22:27" x14ac:dyDescent="0.15">
      <c r="V253" s="2" t="str">
        <f t="shared" si="7"/>
        <v/>
      </c>
      <c r="Y253" s="2" t="str">
        <f t="array" ref="Y253">IF(X253&lt;&gt;"",IFERROR(INDEX($AB$3:$AD$600,MATCH(1,($AB$3:$AB$600=W253)*($AC$3:$AC$600=X253),0),3),"Don’t Exists"),"")</f>
        <v/>
      </c>
      <c r="AA253" s="2" t="str">
        <f t="shared" si="6"/>
        <v/>
      </c>
    </row>
    <row r="254" spans="22:27" x14ac:dyDescent="0.15">
      <c r="V254" s="2" t="str">
        <f t="shared" si="7"/>
        <v/>
      </c>
      <c r="Y254" s="2" t="str">
        <f t="array" ref="Y254">IF(X254&lt;&gt;"",IFERROR(INDEX($AB$3:$AD$600,MATCH(1,($AB$3:$AB$600=W254)*($AC$3:$AC$600=X254),0),3),"Don’t Exists"),"")</f>
        <v/>
      </c>
      <c r="AA254" s="2" t="str">
        <f t="shared" si="6"/>
        <v/>
      </c>
    </row>
    <row r="255" spans="22:27" x14ac:dyDescent="0.15">
      <c r="V255" s="2" t="str">
        <f t="shared" si="7"/>
        <v/>
      </c>
      <c r="Y255" s="2" t="str">
        <f t="array" ref="Y255">IF(X255&lt;&gt;"",IFERROR(INDEX($AB$3:$AD$600,MATCH(1,($AB$3:$AB$600=W255)*($AC$3:$AC$600=X255),0),3),"Don’t Exists"),"")</f>
        <v/>
      </c>
      <c r="AA255" s="2" t="str">
        <f t="shared" si="6"/>
        <v/>
      </c>
    </row>
    <row r="256" spans="22:27" x14ac:dyDescent="0.15">
      <c r="V256" s="2" t="str">
        <f t="shared" si="7"/>
        <v/>
      </c>
      <c r="Y256" s="2" t="str">
        <f t="array" ref="Y256">IF(X256&lt;&gt;"",IFERROR(INDEX($AB$3:$AD$600,MATCH(1,($AB$3:$AB$600=W256)*($AC$3:$AC$600=X256),0),3),"Don’t Exists"),"")</f>
        <v/>
      </c>
      <c r="AA256" s="2" t="str">
        <f t="shared" si="6"/>
        <v/>
      </c>
    </row>
    <row r="257" spans="22:27" x14ac:dyDescent="0.15">
      <c r="V257" s="2" t="str">
        <f t="shared" si="7"/>
        <v/>
      </c>
      <c r="Y257" s="2" t="str">
        <f t="array" ref="Y257">IF(X257&lt;&gt;"",IFERROR(INDEX($AB$3:$AD$600,MATCH(1,($AB$3:$AB$600=W257)*($AC$3:$AC$600=X257),0),3),"Don’t Exists"),"")</f>
        <v/>
      </c>
      <c r="AA257" s="2" t="str">
        <f t="shared" si="6"/>
        <v/>
      </c>
    </row>
    <row r="258" spans="22:27" x14ac:dyDescent="0.15">
      <c r="V258" s="2" t="str">
        <f t="shared" si="7"/>
        <v/>
      </c>
      <c r="Y258" s="2" t="str">
        <f t="array" ref="Y258">IF(X258&lt;&gt;"",IFERROR(INDEX($AB$3:$AD$600,MATCH(1,($AB$3:$AB$600=W258)*($AC$3:$AC$600=X258),0),3),"Don’t Exists"),"")</f>
        <v/>
      </c>
      <c r="AA258" s="2" t="str">
        <f t="shared" si="6"/>
        <v/>
      </c>
    </row>
    <row r="259" spans="22:27" x14ac:dyDescent="0.15">
      <c r="V259" s="2" t="str">
        <f t="shared" si="7"/>
        <v/>
      </c>
      <c r="Y259" s="2" t="str">
        <f t="array" ref="Y259">IF(X259&lt;&gt;"",IFERROR(INDEX($AB$3:$AD$600,MATCH(1,($AB$3:$AB$600=W259)*($AC$3:$AC$600=X259),0),3),"Don’t Exists"),"")</f>
        <v/>
      </c>
      <c r="AA259" s="2" t="str">
        <f t="shared" si="6"/>
        <v/>
      </c>
    </row>
    <row r="260" spans="22:27" x14ac:dyDescent="0.15">
      <c r="V260" s="2" t="str">
        <f t="shared" si="7"/>
        <v/>
      </c>
      <c r="Y260" s="2" t="str">
        <f t="array" ref="Y260">IF(X260&lt;&gt;"",IFERROR(INDEX($AB$3:$AD$600,MATCH(1,($AB$3:$AB$600=W260)*($AC$3:$AC$600=X260),0),3),"Don’t Exists"),"")</f>
        <v/>
      </c>
      <c r="AA260" s="2" t="str">
        <f t="shared" ref="AA260:AA323" si="8">IF(AC260&lt;&gt;"",ROW()-2,"")</f>
        <v/>
      </c>
    </row>
    <row r="261" spans="22:27" x14ac:dyDescent="0.15">
      <c r="V261" s="2" t="str">
        <f t="shared" si="7"/>
        <v/>
      </c>
      <c r="Y261" s="2" t="str">
        <f t="array" ref="Y261">IF(X261&lt;&gt;"",IFERROR(INDEX($AB$3:$AD$600,MATCH(1,($AB$3:$AB$600=W261)*($AC$3:$AC$600=X261),0),3),"Don’t Exists"),"")</f>
        <v/>
      </c>
      <c r="AA261" s="2" t="str">
        <f t="shared" si="8"/>
        <v/>
      </c>
    </row>
    <row r="262" spans="22:27" x14ac:dyDescent="0.15">
      <c r="V262" s="2" t="str">
        <f t="shared" si="7"/>
        <v/>
      </c>
      <c r="Y262" s="2" t="str">
        <f t="array" ref="Y262">IF(X262&lt;&gt;"",IFERROR(INDEX($AB$3:$AD$600,MATCH(1,($AB$3:$AB$600=W262)*($AC$3:$AC$600=X262),0),3),"Don’t Exists"),"")</f>
        <v/>
      </c>
      <c r="AA262" s="2" t="str">
        <f t="shared" si="8"/>
        <v/>
      </c>
    </row>
    <row r="263" spans="22:27" x14ac:dyDescent="0.15">
      <c r="V263" s="2" t="str">
        <f t="shared" si="7"/>
        <v/>
      </c>
      <c r="Y263" s="2" t="str">
        <f t="array" ref="Y263">IF(X263&lt;&gt;"",IFERROR(INDEX($AB$3:$AD$600,MATCH(1,($AB$3:$AB$600=W263)*($AC$3:$AC$600=X263),0),3),"Don’t Exists"),"")</f>
        <v/>
      </c>
      <c r="AA263" s="2" t="str">
        <f t="shared" si="8"/>
        <v/>
      </c>
    </row>
    <row r="264" spans="22:27" x14ac:dyDescent="0.15">
      <c r="V264" s="2" t="str">
        <f t="shared" si="7"/>
        <v/>
      </c>
      <c r="Y264" s="2" t="str">
        <f t="array" ref="Y264">IF(X264&lt;&gt;"",IFERROR(INDEX($AB$3:$AD$600,MATCH(1,($AB$3:$AB$600=W264)*($AC$3:$AC$600=X264),0),3),"Don’t Exists"),"")</f>
        <v/>
      </c>
      <c r="AA264" s="2" t="str">
        <f t="shared" si="8"/>
        <v/>
      </c>
    </row>
    <row r="265" spans="22:27" x14ac:dyDescent="0.15">
      <c r="V265" s="2" t="str">
        <f t="shared" si="7"/>
        <v/>
      </c>
      <c r="Y265" s="2" t="str">
        <f t="array" ref="Y265">IF(X265&lt;&gt;"",IFERROR(INDEX($AB$3:$AD$600,MATCH(1,($AB$3:$AB$600=W265)*($AC$3:$AC$600=X265),0),3),"Don’t Exists"),"")</f>
        <v/>
      </c>
      <c r="AA265" s="2" t="str">
        <f t="shared" si="8"/>
        <v/>
      </c>
    </row>
    <row r="266" spans="22:27" x14ac:dyDescent="0.15">
      <c r="V266" s="2" t="str">
        <f t="shared" si="7"/>
        <v/>
      </c>
      <c r="Y266" s="2" t="str">
        <f t="array" ref="Y266">IF(X266&lt;&gt;"",IFERROR(INDEX($AB$3:$AD$600,MATCH(1,($AB$3:$AB$600=W266)*($AC$3:$AC$600=X266),0),3),"Don’t Exists"),"")</f>
        <v/>
      </c>
      <c r="AA266" s="2" t="str">
        <f t="shared" si="8"/>
        <v/>
      </c>
    </row>
    <row r="267" spans="22:27" x14ac:dyDescent="0.15">
      <c r="V267" s="2" t="str">
        <f t="shared" si="7"/>
        <v/>
      </c>
      <c r="Y267" s="2" t="str">
        <f t="array" ref="Y267">IF(X267&lt;&gt;"",IFERROR(INDEX($AB$3:$AD$600,MATCH(1,($AB$3:$AB$600=W267)*($AC$3:$AC$600=X267),0),3),"Don’t Exists"),"")</f>
        <v/>
      </c>
      <c r="AA267" s="2" t="str">
        <f t="shared" si="8"/>
        <v/>
      </c>
    </row>
    <row r="268" spans="22:27" x14ac:dyDescent="0.15">
      <c r="V268" s="2" t="str">
        <f t="shared" si="7"/>
        <v/>
      </c>
      <c r="Y268" s="2" t="str">
        <f t="array" ref="Y268">IF(X268&lt;&gt;"",IFERROR(INDEX($AB$3:$AD$600,MATCH(1,($AB$3:$AB$600=W268)*($AC$3:$AC$600=X268),0),3),"Don’t Exists"),"")</f>
        <v/>
      </c>
      <c r="AA268" s="2" t="str">
        <f t="shared" si="8"/>
        <v/>
      </c>
    </row>
    <row r="269" spans="22:27" x14ac:dyDescent="0.15">
      <c r="V269" s="2" t="str">
        <f t="shared" ref="V269:V332" si="9">IF(X269&lt;&gt;"",ROW()-ROW(V$11),"")</f>
        <v/>
      </c>
      <c r="Y269" s="2" t="str">
        <f t="array" ref="Y269">IF(X269&lt;&gt;"",IFERROR(INDEX($AB$3:$AD$600,MATCH(1,($AB$3:$AB$600=W269)*($AC$3:$AC$600=X269),0),3),"Don’t Exists"),"")</f>
        <v/>
      </c>
      <c r="AA269" s="2" t="str">
        <f t="shared" si="8"/>
        <v/>
      </c>
    </row>
    <row r="270" spans="22:27" x14ac:dyDescent="0.15">
      <c r="V270" s="2" t="str">
        <f t="shared" si="9"/>
        <v/>
      </c>
      <c r="Y270" s="2" t="str">
        <f t="array" ref="Y270">IF(X270&lt;&gt;"",IFERROR(INDEX($AB$3:$AD$600,MATCH(1,($AB$3:$AB$600=W270)*($AC$3:$AC$600=X270),0),3),"Don’t Exists"),"")</f>
        <v/>
      </c>
      <c r="AA270" s="2" t="str">
        <f t="shared" si="8"/>
        <v/>
      </c>
    </row>
    <row r="271" spans="22:27" x14ac:dyDescent="0.15">
      <c r="V271" s="2" t="str">
        <f t="shared" si="9"/>
        <v/>
      </c>
      <c r="Y271" s="2" t="str">
        <f t="array" ref="Y271">IF(X271&lt;&gt;"",IFERROR(INDEX($AB$3:$AD$600,MATCH(1,($AB$3:$AB$600=W271)*($AC$3:$AC$600=X271),0),3),"Don’t Exists"),"")</f>
        <v/>
      </c>
      <c r="AA271" s="2" t="str">
        <f t="shared" si="8"/>
        <v/>
      </c>
    </row>
    <row r="272" spans="22:27" x14ac:dyDescent="0.15">
      <c r="V272" s="2" t="str">
        <f t="shared" si="9"/>
        <v/>
      </c>
      <c r="Y272" s="2" t="str">
        <f t="array" ref="Y272">IF(X272&lt;&gt;"",IFERROR(INDEX($AB$3:$AD$600,MATCH(1,($AB$3:$AB$600=W272)*($AC$3:$AC$600=X272),0),3),"Don’t Exists"),"")</f>
        <v/>
      </c>
      <c r="AA272" s="2" t="str">
        <f t="shared" si="8"/>
        <v/>
      </c>
    </row>
    <row r="273" spans="22:27" x14ac:dyDescent="0.15">
      <c r="V273" s="2" t="str">
        <f t="shared" si="9"/>
        <v/>
      </c>
      <c r="Y273" s="2" t="str">
        <f t="array" ref="Y273">IF(X273&lt;&gt;"",IFERROR(INDEX($AB$3:$AD$600,MATCH(1,($AB$3:$AB$600=W273)*($AC$3:$AC$600=X273),0),3),"Don’t Exists"),"")</f>
        <v/>
      </c>
      <c r="AA273" s="2" t="str">
        <f t="shared" si="8"/>
        <v/>
      </c>
    </row>
    <row r="274" spans="22:27" x14ac:dyDescent="0.15">
      <c r="V274" s="2" t="str">
        <f t="shared" si="9"/>
        <v/>
      </c>
      <c r="Y274" s="2" t="str">
        <f t="array" ref="Y274">IF(X274&lt;&gt;"",IFERROR(INDEX($AB$3:$AD$600,MATCH(1,($AB$3:$AB$600=W274)*($AC$3:$AC$600=X274),0),3),"Don’t Exists"),"")</f>
        <v/>
      </c>
      <c r="AA274" s="2" t="str">
        <f t="shared" si="8"/>
        <v/>
      </c>
    </row>
    <row r="275" spans="22:27" x14ac:dyDescent="0.15">
      <c r="V275" s="2" t="str">
        <f t="shared" si="9"/>
        <v/>
      </c>
      <c r="Y275" s="2" t="str">
        <f t="array" ref="Y275">IF(X275&lt;&gt;"",IFERROR(INDEX($AB$3:$AD$600,MATCH(1,($AB$3:$AB$600=W275)*($AC$3:$AC$600=X275),0),3),"Don’t Exists"),"")</f>
        <v/>
      </c>
      <c r="AA275" s="2" t="str">
        <f t="shared" si="8"/>
        <v/>
      </c>
    </row>
    <row r="276" spans="22:27" x14ac:dyDescent="0.15">
      <c r="V276" s="2" t="str">
        <f t="shared" si="9"/>
        <v/>
      </c>
      <c r="Y276" s="2" t="str">
        <f t="array" ref="Y276">IF(X276&lt;&gt;"",IFERROR(INDEX($AB$3:$AD$600,MATCH(1,($AB$3:$AB$600=W276)*($AC$3:$AC$600=X276),0),3),"Don’t Exists"),"")</f>
        <v/>
      </c>
      <c r="AA276" s="2" t="str">
        <f t="shared" si="8"/>
        <v/>
      </c>
    </row>
    <row r="277" spans="22:27" x14ac:dyDescent="0.15">
      <c r="V277" s="2" t="str">
        <f t="shared" si="9"/>
        <v/>
      </c>
      <c r="Y277" s="2" t="str">
        <f t="array" ref="Y277">IF(X277&lt;&gt;"",IFERROR(INDEX($AB$3:$AD$600,MATCH(1,($AB$3:$AB$600=W277)*($AC$3:$AC$600=X277),0),3),"Don’t Exists"),"")</f>
        <v/>
      </c>
      <c r="AA277" s="2" t="str">
        <f t="shared" si="8"/>
        <v/>
      </c>
    </row>
    <row r="278" spans="22:27" x14ac:dyDescent="0.15">
      <c r="V278" s="2" t="str">
        <f t="shared" si="9"/>
        <v/>
      </c>
      <c r="Y278" s="2" t="str">
        <f t="array" ref="Y278">IF(X278&lt;&gt;"",IFERROR(INDEX($AB$3:$AD$600,MATCH(1,($AB$3:$AB$600=W278)*($AC$3:$AC$600=X278),0),3),"Don’t Exists"),"")</f>
        <v/>
      </c>
      <c r="AA278" s="2" t="str">
        <f t="shared" si="8"/>
        <v/>
      </c>
    </row>
    <row r="279" spans="22:27" x14ac:dyDescent="0.15">
      <c r="V279" s="2" t="str">
        <f t="shared" si="9"/>
        <v/>
      </c>
      <c r="Y279" s="2" t="str">
        <f t="array" ref="Y279">IF(X279&lt;&gt;"",IFERROR(INDEX($AB$3:$AD$600,MATCH(1,($AB$3:$AB$600=W279)*($AC$3:$AC$600=X279),0),3),"Don’t Exists"),"")</f>
        <v/>
      </c>
      <c r="AA279" s="2" t="str">
        <f t="shared" si="8"/>
        <v/>
      </c>
    </row>
    <row r="280" spans="22:27" x14ac:dyDescent="0.15">
      <c r="V280" s="2" t="str">
        <f t="shared" si="9"/>
        <v/>
      </c>
      <c r="Y280" s="2" t="str">
        <f t="array" ref="Y280">IF(X280&lt;&gt;"",IFERROR(INDEX($AB$3:$AD$600,MATCH(1,($AB$3:$AB$600=W280)*($AC$3:$AC$600=X280),0),3),"Don’t Exists"),"")</f>
        <v/>
      </c>
      <c r="AA280" s="2" t="str">
        <f t="shared" si="8"/>
        <v/>
      </c>
    </row>
    <row r="281" spans="22:27" x14ac:dyDescent="0.15">
      <c r="V281" s="2" t="str">
        <f t="shared" si="9"/>
        <v/>
      </c>
      <c r="Y281" s="2" t="str">
        <f t="array" ref="Y281">IF(X281&lt;&gt;"",IFERROR(INDEX($AB$3:$AD$600,MATCH(1,($AB$3:$AB$600=W281)*($AC$3:$AC$600=X281),0),3),"Don’t Exists"),"")</f>
        <v/>
      </c>
      <c r="AA281" s="2" t="str">
        <f t="shared" si="8"/>
        <v/>
      </c>
    </row>
    <row r="282" spans="22:27" x14ac:dyDescent="0.15">
      <c r="V282" s="2" t="str">
        <f t="shared" si="9"/>
        <v/>
      </c>
      <c r="Y282" s="2" t="str">
        <f t="array" ref="Y282">IF(X282&lt;&gt;"",IFERROR(INDEX($AB$3:$AD$600,MATCH(1,($AB$3:$AB$600=W282)*($AC$3:$AC$600=X282),0),3),"Don’t Exists"),"")</f>
        <v/>
      </c>
      <c r="AA282" s="2" t="str">
        <f t="shared" si="8"/>
        <v/>
      </c>
    </row>
    <row r="283" spans="22:27" x14ac:dyDescent="0.15">
      <c r="V283" s="2" t="str">
        <f t="shared" si="9"/>
        <v/>
      </c>
      <c r="Y283" s="2" t="str">
        <f t="array" ref="Y283">IF(X283&lt;&gt;"",IFERROR(INDEX($AB$3:$AD$600,MATCH(1,($AB$3:$AB$600=W283)*($AC$3:$AC$600=X283),0),3),"Don’t Exists"),"")</f>
        <v/>
      </c>
      <c r="AA283" s="2" t="str">
        <f t="shared" si="8"/>
        <v/>
      </c>
    </row>
    <row r="284" spans="22:27" x14ac:dyDescent="0.15">
      <c r="V284" s="2" t="str">
        <f t="shared" si="9"/>
        <v/>
      </c>
      <c r="Y284" s="2" t="str">
        <f t="array" ref="Y284">IF(X284&lt;&gt;"",IFERROR(INDEX($AB$3:$AD$600,MATCH(1,($AB$3:$AB$600=W284)*($AC$3:$AC$600=X284),0),3),"Don’t Exists"),"")</f>
        <v/>
      </c>
      <c r="AA284" s="2" t="str">
        <f t="shared" si="8"/>
        <v/>
      </c>
    </row>
    <row r="285" spans="22:27" x14ac:dyDescent="0.15">
      <c r="V285" s="2" t="str">
        <f t="shared" si="9"/>
        <v/>
      </c>
      <c r="Y285" s="2" t="str">
        <f t="array" ref="Y285">IF(X285&lt;&gt;"",IFERROR(INDEX($AB$3:$AD$600,MATCH(1,($AB$3:$AB$600=W285)*($AC$3:$AC$600=X285),0),3),"Don’t Exists"),"")</f>
        <v/>
      </c>
      <c r="AA285" s="2" t="str">
        <f t="shared" si="8"/>
        <v/>
      </c>
    </row>
    <row r="286" spans="22:27" x14ac:dyDescent="0.15">
      <c r="V286" s="2" t="str">
        <f t="shared" si="9"/>
        <v/>
      </c>
      <c r="Y286" s="2" t="str">
        <f t="array" ref="Y286">IF(X286&lt;&gt;"",IFERROR(INDEX($AB$3:$AD$600,MATCH(1,($AB$3:$AB$600=W286)*($AC$3:$AC$600=X286),0),3),"Don’t Exists"),"")</f>
        <v/>
      </c>
      <c r="AA286" s="2" t="str">
        <f t="shared" si="8"/>
        <v/>
      </c>
    </row>
    <row r="287" spans="22:27" x14ac:dyDescent="0.15">
      <c r="V287" s="2" t="str">
        <f t="shared" si="9"/>
        <v/>
      </c>
      <c r="Y287" s="2" t="str">
        <f t="array" ref="Y287">IF(X287&lt;&gt;"",IFERROR(INDEX($AB$3:$AD$600,MATCH(1,($AB$3:$AB$600=W287)*($AC$3:$AC$600=X287),0),3),"Don’t Exists"),"")</f>
        <v/>
      </c>
      <c r="AA287" s="2" t="str">
        <f t="shared" si="8"/>
        <v/>
      </c>
    </row>
    <row r="288" spans="22:27" x14ac:dyDescent="0.15">
      <c r="V288" s="2" t="str">
        <f t="shared" si="9"/>
        <v/>
      </c>
      <c r="Y288" s="2" t="str">
        <f t="array" ref="Y288">IF(X288&lt;&gt;"",IFERROR(INDEX($AB$3:$AD$600,MATCH(1,($AB$3:$AB$600=W288)*($AC$3:$AC$600=X288),0),3),"Don’t Exists"),"")</f>
        <v/>
      </c>
      <c r="AA288" s="2" t="str">
        <f t="shared" si="8"/>
        <v/>
      </c>
    </row>
    <row r="289" spans="22:27" x14ac:dyDescent="0.15">
      <c r="V289" s="2" t="str">
        <f t="shared" si="9"/>
        <v/>
      </c>
      <c r="Y289" s="2" t="str">
        <f t="array" ref="Y289">IF(X289&lt;&gt;"",IFERROR(INDEX($AB$3:$AD$600,MATCH(1,($AB$3:$AB$600=W289)*($AC$3:$AC$600=X289),0),3),"Don’t Exists"),"")</f>
        <v/>
      </c>
      <c r="AA289" s="2" t="str">
        <f t="shared" si="8"/>
        <v/>
      </c>
    </row>
    <row r="290" spans="22:27" x14ac:dyDescent="0.15">
      <c r="V290" s="2" t="str">
        <f t="shared" si="9"/>
        <v/>
      </c>
      <c r="Y290" s="2" t="str">
        <f t="array" ref="Y290">IF(X290&lt;&gt;"",IFERROR(INDEX($AB$3:$AD$600,MATCH(1,($AB$3:$AB$600=W290)*($AC$3:$AC$600=X290),0),3),"Don’t Exists"),"")</f>
        <v/>
      </c>
      <c r="AA290" s="2" t="str">
        <f t="shared" si="8"/>
        <v/>
      </c>
    </row>
    <row r="291" spans="22:27" x14ac:dyDescent="0.15">
      <c r="V291" s="2" t="str">
        <f t="shared" si="9"/>
        <v/>
      </c>
      <c r="Y291" s="2" t="str">
        <f t="array" ref="Y291">IF(X291&lt;&gt;"",IFERROR(INDEX($AB$3:$AD$600,MATCH(1,($AB$3:$AB$600=W291)*($AC$3:$AC$600=X291),0),3),"Don’t Exists"),"")</f>
        <v/>
      </c>
      <c r="AA291" s="2" t="str">
        <f t="shared" si="8"/>
        <v/>
      </c>
    </row>
    <row r="292" spans="22:27" x14ac:dyDescent="0.15">
      <c r="V292" s="2" t="str">
        <f t="shared" si="9"/>
        <v/>
      </c>
      <c r="Y292" s="2" t="str">
        <f t="array" ref="Y292">IF(X292&lt;&gt;"",IFERROR(INDEX($AB$3:$AD$600,MATCH(1,($AB$3:$AB$600=W292)*($AC$3:$AC$600=X292),0),3),"Don’t Exists"),"")</f>
        <v/>
      </c>
      <c r="AA292" s="2" t="str">
        <f t="shared" si="8"/>
        <v/>
      </c>
    </row>
    <row r="293" spans="22:27" x14ac:dyDescent="0.15">
      <c r="V293" s="2" t="str">
        <f t="shared" si="9"/>
        <v/>
      </c>
      <c r="Y293" s="2" t="str">
        <f t="array" ref="Y293">IF(X293&lt;&gt;"",IFERROR(INDEX($AB$3:$AD$600,MATCH(1,($AB$3:$AB$600=W293)*($AC$3:$AC$600=X293),0),3),"Don’t Exists"),"")</f>
        <v/>
      </c>
      <c r="AA293" s="2" t="str">
        <f t="shared" si="8"/>
        <v/>
      </c>
    </row>
    <row r="294" spans="22:27" x14ac:dyDescent="0.15">
      <c r="V294" s="2" t="str">
        <f t="shared" si="9"/>
        <v/>
      </c>
      <c r="Y294" s="2" t="str">
        <f t="array" ref="Y294">IF(X294&lt;&gt;"",IFERROR(INDEX($AB$3:$AD$600,MATCH(1,($AB$3:$AB$600=W294)*($AC$3:$AC$600=X294),0),3),"Don’t Exists"),"")</f>
        <v/>
      </c>
      <c r="AA294" s="2" t="str">
        <f t="shared" si="8"/>
        <v/>
      </c>
    </row>
    <row r="295" spans="22:27" x14ac:dyDescent="0.15">
      <c r="V295" s="2" t="str">
        <f t="shared" si="9"/>
        <v/>
      </c>
      <c r="Y295" s="2" t="str">
        <f t="array" ref="Y295">IF(X295&lt;&gt;"",IFERROR(INDEX($AB$3:$AD$600,MATCH(1,($AB$3:$AB$600=W295)*($AC$3:$AC$600=X295),0),3),"Don’t Exists"),"")</f>
        <v/>
      </c>
      <c r="AA295" s="2" t="str">
        <f t="shared" si="8"/>
        <v/>
      </c>
    </row>
    <row r="296" spans="22:27" x14ac:dyDescent="0.15">
      <c r="V296" s="2" t="str">
        <f t="shared" si="9"/>
        <v/>
      </c>
      <c r="Y296" s="2" t="str">
        <f t="array" ref="Y296">IF(X296&lt;&gt;"",IFERROR(INDEX($AB$3:$AD$600,MATCH(1,($AB$3:$AB$600=W296)*($AC$3:$AC$600=X296),0),3),"Don’t Exists"),"")</f>
        <v/>
      </c>
      <c r="AA296" s="2" t="str">
        <f t="shared" si="8"/>
        <v/>
      </c>
    </row>
    <row r="297" spans="22:27" x14ac:dyDescent="0.15">
      <c r="V297" s="2" t="str">
        <f t="shared" si="9"/>
        <v/>
      </c>
      <c r="Y297" s="2" t="str">
        <f t="array" ref="Y297">IF(X297&lt;&gt;"",IFERROR(INDEX($AB$3:$AD$600,MATCH(1,($AB$3:$AB$600=W297)*($AC$3:$AC$600=X297),0),3),"Don’t Exists"),"")</f>
        <v/>
      </c>
      <c r="AA297" s="2" t="str">
        <f t="shared" si="8"/>
        <v/>
      </c>
    </row>
    <row r="298" spans="22:27" x14ac:dyDescent="0.15">
      <c r="V298" s="2" t="str">
        <f t="shared" si="9"/>
        <v/>
      </c>
      <c r="Y298" s="2" t="str">
        <f t="array" ref="Y298">IF(X298&lt;&gt;"",IFERROR(INDEX($AB$3:$AD$600,MATCH(1,($AB$3:$AB$600=W298)*($AC$3:$AC$600=X298),0),3),"Don’t Exists"),"")</f>
        <v/>
      </c>
      <c r="AA298" s="2" t="str">
        <f t="shared" si="8"/>
        <v/>
      </c>
    </row>
    <row r="299" spans="22:27" x14ac:dyDescent="0.15">
      <c r="V299" s="2" t="str">
        <f t="shared" si="9"/>
        <v/>
      </c>
      <c r="Y299" s="2" t="str">
        <f t="array" ref="Y299">IF(X299&lt;&gt;"",IFERROR(INDEX($AB$3:$AD$600,MATCH(1,($AB$3:$AB$600=W299)*($AC$3:$AC$600=X299),0),3),"Don’t Exists"),"")</f>
        <v/>
      </c>
      <c r="AA299" s="2" t="str">
        <f t="shared" si="8"/>
        <v/>
      </c>
    </row>
    <row r="300" spans="22:27" x14ac:dyDescent="0.15">
      <c r="V300" s="2" t="str">
        <f t="shared" si="9"/>
        <v/>
      </c>
      <c r="Y300" s="2" t="str">
        <f t="array" ref="Y300">IF(X300&lt;&gt;"",IFERROR(INDEX($AB$3:$AD$600,MATCH(1,($AB$3:$AB$600=W300)*($AC$3:$AC$600=X300),0),3),"Don’t Exists"),"")</f>
        <v/>
      </c>
      <c r="AA300" s="2" t="str">
        <f t="shared" si="8"/>
        <v/>
      </c>
    </row>
    <row r="301" spans="22:27" x14ac:dyDescent="0.15">
      <c r="V301" s="2" t="str">
        <f t="shared" si="9"/>
        <v/>
      </c>
      <c r="Y301" s="2" t="str">
        <f t="array" ref="Y301">IF(X301&lt;&gt;"",IFERROR(INDEX($AB$3:$AD$600,MATCH(1,($AB$3:$AB$600=W301)*($AC$3:$AC$600=X301),0),3),"Don’t Exists"),"")</f>
        <v/>
      </c>
      <c r="AA301" s="2" t="str">
        <f t="shared" si="8"/>
        <v/>
      </c>
    </row>
    <row r="302" spans="22:27" x14ac:dyDescent="0.15">
      <c r="V302" s="2" t="str">
        <f t="shared" si="9"/>
        <v/>
      </c>
      <c r="Y302" s="2" t="str">
        <f t="array" ref="Y302">IF(X302&lt;&gt;"",IFERROR(INDEX($AB$3:$AD$600,MATCH(1,($AB$3:$AB$600=W302)*($AC$3:$AC$600=X302),0),3),"Don’t Exists"),"")</f>
        <v/>
      </c>
      <c r="AA302" s="2" t="str">
        <f t="shared" si="8"/>
        <v/>
      </c>
    </row>
    <row r="303" spans="22:27" x14ac:dyDescent="0.15">
      <c r="V303" s="2" t="str">
        <f t="shared" si="9"/>
        <v/>
      </c>
      <c r="Y303" s="2" t="str">
        <f t="array" ref="Y303">IF(X303&lt;&gt;"",IFERROR(INDEX($AB$3:$AD$600,MATCH(1,($AB$3:$AB$600=W303)*($AC$3:$AC$600=X303),0),3),"Don’t Exists"),"")</f>
        <v/>
      </c>
      <c r="AA303" s="2" t="str">
        <f t="shared" si="8"/>
        <v/>
      </c>
    </row>
    <row r="304" spans="22:27" x14ac:dyDescent="0.15">
      <c r="V304" s="2" t="str">
        <f t="shared" si="9"/>
        <v/>
      </c>
      <c r="Y304" s="2" t="str">
        <f t="array" ref="Y304">IF(X304&lt;&gt;"",IFERROR(INDEX($AB$3:$AD$600,MATCH(1,($AB$3:$AB$600=W304)*($AC$3:$AC$600=X304),0),3),"Don’t Exists"),"")</f>
        <v/>
      </c>
      <c r="AA304" s="2" t="str">
        <f t="shared" si="8"/>
        <v/>
      </c>
    </row>
    <row r="305" spans="22:27" x14ac:dyDescent="0.15">
      <c r="V305" s="2" t="str">
        <f t="shared" si="9"/>
        <v/>
      </c>
      <c r="Y305" s="2" t="str">
        <f t="array" ref="Y305">IF(X305&lt;&gt;"",IFERROR(INDEX($AB$3:$AD$600,MATCH(1,($AB$3:$AB$600=W305)*($AC$3:$AC$600=X305),0),3),"Don’t Exists"),"")</f>
        <v/>
      </c>
      <c r="AA305" s="2" t="str">
        <f t="shared" si="8"/>
        <v/>
      </c>
    </row>
    <row r="306" spans="22:27" x14ac:dyDescent="0.15">
      <c r="V306" s="2" t="str">
        <f t="shared" si="9"/>
        <v/>
      </c>
      <c r="Y306" s="2" t="str">
        <f t="array" ref="Y306">IF(X306&lt;&gt;"",IFERROR(INDEX($AB$3:$AD$600,MATCH(1,($AB$3:$AB$600=W306)*($AC$3:$AC$600=X306),0),3),"Don’t Exists"),"")</f>
        <v/>
      </c>
      <c r="AA306" s="2" t="str">
        <f t="shared" si="8"/>
        <v/>
      </c>
    </row>
    <row r="307" spans="22:27" x14ac:dyDescent="0.15">
      <c r="V307" s="2" t="str">
        <f t="shared" si="9"/>
        <v/>
      </c>
      <c r="Y307" s="2" t="str">
        <f t="array" ref="Y307">IF(X307&lt;&gt;"",IFERROR(INDEX($AB$3:$AD$600,MATCH(1,($AB$3:$AB$600=W307)*($AC$3:$AC$600=X307),0),3),"Don’t Exists"),"")</f>
        <v/>
      </c>
      <c r="AA307" s="2" t="str">
        <f t="shared" si="8"/>
        <v/>
      </c>
    </row>
    <row r="308" spans="22:27" x14ac:dyDescent="0.15">
      <c r="V308" s="2" t="str">
        <f t="shared" si="9"/>
        <v/>
      </c>
      <c r="Y308" s="2" t="str">
        <f t="array" ref="Y308">IF(X308&lt;&gt;"",IFERROR(INDEX($AB$3:$AD$600,MATCH(1,($AB$3:$AB$600=W308)*($AC$3:$AC$600=X308),0),3),"Don’t Exists"),"")</f>
        <v/>
      </c>
      <c r="AA308" s="2" t="str">
        <f t="shared" si="8"/>
        <v/>
      </c>
    </row>
    <row r="309" spans="22:27" x14ac:dyDescent="0.15">
      <c r="V309" s="2" t="str">
        <f t="shared" si="9"/>
        <v/>
      </c>
      <c r="Y309" s="2" t="str">
        <f t="array" ref="Y309">IF(X309&lt;&gt;"",IFERROR(INDEX($AB$3:$AD$600,MATCH(1,($AB$3:$AB$600=W309)*($AC$3:$AC$600=X309),0),3),"Don’t Exists"),"")</f>
        <v/>
      </c>
      <c r="AA309" s="2" t="str">
        <f t="shared" si="8"/>
        <v/>
      </c>
    </row>
    <row r="310" spans="22:27" x14ac:dyDescent="0.15">
      <c r="V310" s="2" t="str">
        <f t="shared" si="9"/>
        <v/>
      </c>
      <c r="Y310" s="2" t="str">
        <f t="array" ref="Y310">IF(X310&lt;&gt;"",IFERROR(INDEX($AB$3:$AD$600,MATCH(1,($AB$3:$AB$600=W310)*($AC$3:$AC$600=X310),0),3),"Don’t Exists"),"")</f>
        <v/>
      </c>
      <c r="AA310" s="2" t="str">
        <f t="shared" si="8"/>
        <v/>
      </c>
    </row>
    <row r="311" spans="22:27" x14ac:dyDescent="0.15">
      <c r="V311" s="2" t="str">
        <f t="shared" si="9"/>
        <v/>
      </c>
      <c r="Y311" s="2" t="str">
        <f t="array" ref="Y311">IF(X311&lt;&gt;"",IFERROR(INDEX($AB$3:$AD$600,MATCH(1,($AB$3:$AB$600=W311)*($AC$3:$AC$600=X311),0),3),"Don’t Exists"),"")</f>
        <v/>
      </c>
      <c r="AA311" s="2" t="str">
        <f t="shared" si="8"/>
        <v/>
      </c>
    </row>
    <row r="312" spans="22:27" x14ac:dyDescent="0.15">
      <c r="V312" s="2" t="str">
        <f t="shared" si="9"/>
        <v/>
      </c>
      <c r="Y312" s="2" t="str">
        <f t="array" ref="Y312">IF(X312&lt;&gt;"",IFERROR(INDEX($AB$3:$AD$600,MATCH(1,($AB$3:$AB$600=W312)*($AC$3:$AC$600=X312),0),3),"Don’t Exists"),"")</f>
        <v/>
      </c>
      <c r="AA312" s="2" t="str">
        <f t="shared" si="8"/>
        <v/>
      </c>
    </row>
    <row r="313" spans="22:27" x14ac:dyDescent="0.15">
      <c r="V313" s="2" t="str">
        <f t="shared" si="9"/>
        <v/>
      </c>
      <c r="Y313" s="2" t="str">
        <f t="array" ref="Y313">IF(X313&lt;&gt;"",IFERROR(INDEX($AB$3:$AD$600,MATCH(1,($AB$3:$AB$600=W313)*($AC$3:$AC$600=X313),0),3),"Don’t Exists"),"")</f>
        <v/>
      </c>
      <c r="AA313" s="2" t="str">
        <f t="shared" si="8"/>
        <v/>
      </c>
    </row>
    <row r="314" spans="22:27" x14ac:dyDescent="0.15">
      <c r="V314" s="2" t="str">
        <f t="shared" si="9"/>
        <v/>
      </c>
      <c r="Y314" s="2" t="str">
        <f t="array" ref="Y314">IF(X314&lt;&gt;"",IFERROR(INDEX($AB$3:$AD$600,MATCH(1,($AB$3:$AB$600=W314)*($AC$3:$AC$600=X314),0),3),"Don’t Exists"),"")</f>
        <v/>
      </c>
      <c r="AA314" s="2" t="str">
        <f t="shared" si="8"/>
        <v/>
      </c>
    </row>
    <row r="315" spans="22:27" x14ac:dyDescent="0.15">
      <c r="V315" s="2" t="str">
        <f t="shared" si="9"/>
        <v/>
      </c>
      <c r="Y315" s="2" t="str">
        <f t="array" ref="Y315">IF(X315&lt;&gt;"",IFERROR(INDEX($AB$3:$AD$600,MATCH(1,($AB$3:$AB$600=W315)*($AC$3:$AC$600=X315),0),3),"Don’t Exists"),"")</f>
        <v/>
      </c>
      <c r="AA315" s="2" t="str">
        <f t="shared" si="8"/>
        <v/>
      </c>
    </row>
    <row r="316" spans="22:27" x14ac:dyDescent="0.15">
      <c r="V316" s="2" t="str">
        <f t="shared" si="9"/>
        <v/>
      </c>
      <c r="Y316" s="2" t="str">
        <f t="array" ref="Y316">IF(X316&lt;&gt;"",IFERROR(INDEX($AB$3:$AD$600,MATCH(1,($AB$3:$AB$600=W316)*($AC$3:$AC$600=X316),0),3),"Don’t Exists"),"")</f>
        <v/>
      </c>
      <c r="AA316" s="2" t="str">
        <f t="shared" si="8"/>
        <v/>
      </c>
    </row>
    <row r="317" spans="22:27" x14ac:dyDescent="0.15">
      <c r="V317" s="2" t="str">
        <f t="shared" si="9"/>
        <v/>
      </c>
      <c r="Y317" s="2" t="str">
        <f t="array" ref="Y317">IF(X317&lt;&gt;"",IFERROR(INDEX($AB$3:$AD$600,MATCH(1,($AB$3:$AB$600=W317)*($AC$3:$AC$600=X317),0),3),"Don’t Exists"),"")</f>
        <v/>
      </c>
      <c r="AA317" s="2" t="str">
        <f t="shared" si="8"/>
        <v/>
      </c>
    </row>
    <row r="318" spans="22:27" x14ac:dyDescent="0.15">
      <c r="V318" s="2" t="str">
        <f t="shared" si="9"/>
        <v/>
      </c>
      <c r="Y318" s="2" t="str">
        <f t="array" ref="Y318">IF(X318&lt;&gt;"",IFERROR(INDEX($AB$3:$AD$600,MATCH(1,($AB$3:$AB$600=W318)*($AC$3:$AC$600=X318),0),3),"Don’t Exists"),"")</f>
        <v/>
      </c>
      <c r="AA318" s="2" t="str">
        <f t="shared" si="8"/>
        <v/>
      </c>
    </row>
    <row r="319" spans="22:27" x14ac:dyDescent="0.15">
      <c r="V319" s="2" t="str">
        <f t="shared" si="9"/>
        <v/>
      </c>
      <c r="Y319" s="2" t="str">
        <f t="array" ref="Y319">IF(X319&lt;&gt;"",IFERROR(INDEX($AB$3:$AD$600,MATCH(1,($AB$3:$AB$600=W319)*($AC$3:$AC$600=X319),0),3),"Don’t Exists"),"")</f>
        <v/>
      </c>
      <c r="AA319" s="2" t="str">
        <f t="shared" si="8"/>
        <v/>
      </c>
    </row>
    <row r="320" spans="22:27" x14ac:dyDescent="0.15">
      <c r="V320" s="2" t="str">
        <f t="shared" si="9"/>
        <v/>
      </c>
      <c r="Y320" s="2" t="str">
        <f t="array" ref="Y320">IF(X320&lt;&gt;"",IFERROR(INDEX($AB$3:$AD$600,MATCH(1,($AB$3:$AB$600=W320)*($AC$3:$AC$600=X320),0),3),"Don’t Exists"),"")</f>
        <v/>
      </c>
      <c r="AA320" s="2" t="str">
        <f t="shared" si="8"/>
        <v/>
      </c>
    </row>
    <row r="321" spans="22:27" x14ac:dyDescent="0.15">
      <c r="V321" s="2" t="str">
        <f t="shared" si="9"/>
        <v/>
      </c>
      <c r="Y321" s="2" t="str">
        <f t="array" ref="Y321">IF(X321&lt;&gt;"",IFERROR(INDEX($AB$3:$AD$600,MATCH(1,($AB$3:$AB$600=W321)*($AC$3:$AC$600=X321),0),3),"Don’t Exists"),"")</f>
        <v/>
      </c>
      <c r="AA321" s="2" t="str">
        <f t="shared" si="8"/>
        <v/>
      </c>
    </row>
    <row r="322" spans="22:27" x14ac:dyDescent="0.15">
      <c r="V322" s="2" t="str">
        <f t="shared" si="9"/>
        <v/>
      </c>
      <c r="Y322" s="2" t="str">
        <f t="array" ref="Y322">IF(X322&lt;&gt;"",IFERROR(INDEX($AB$3:$AD$600,MATCH(1,($AB$3:$AB$600=W322)*($AC$3:$AC$600=X322),0),3),"Don’t Exists"),"")</f>
        <v/>
      </c>
      <c r="AA322" s="2" t="str">
        <f t="shared" si="8"/>
        <v/>
      </c>
    </row>
    <row r="323" spans="22:27" x14ac:dyDescent="0.15">
      <c r="V323" s="2" t="str">
        <f t="shared" si="9"/>
        <v/>
      </c>
      <c r="Y323" s="2" t="str">
        <f t="array" ref="Y323">IF(X323&lt;&gt;"",IFERROR(INDEX($AB$3:$AD$600,MATCH(1,($AB$3:$AB$600=W323)*($AC$3:$AC$600=X323),0),3),"Don’t Exists"),"")</f>
        <v/>
      </c>
      <c r="AA323" s="2" t="str">
        <f t="shared" si="8"/>
        <v/>
      </c>
    </row>
    <row r="324" spans="22:27" x14ac:dyDescent="0.15">
      <c r="V324" s="2" t="str">
        <f t="shared" si="9"/>
        <v/>
      </c>
      <c r="Y324" s="2" t="str">
        <f t="array" ref="Y324">IF(X324&lt;&gt;"",IFERROR(INDEX($AB$3:$AD$600,MATCH(1,($AB$3:$AB$600=W324)*($AC$3:$AC$600=X324),0),3),"Don’t Exists"),"")</f>
        <v/>
      </c>
      <c r="AA324" s="2" t="str">
        <f t="shared" ref="AA324:AA387" si="10">IF(AC324&lt;&gt;"",ROW()-2,"")</f>
        <v/>
      </c>
    </row>
    <row r="325" spans="22:27" x14ac:dyDescent="0.15">
      <c r="V325" s="2" t="str">
        <f t="shared" si="9"/>
        <v/>
      </c>
      <c r="Y325" s="2" t="str">
        <f t="array" ref="Y325">IF(X325&lt;&gt;"",IFERROR(INDEX($AB$3:$AD$600,MATCH(1,($AB$3:$AB$600=W325)*($AC$3:$AC$600=X325),0),3),"Don’t Exists"),"")</f>
        <v/>
      </c>
      <c r="AA325" s="2" t="str">
        <f t="shared" si="10"/>
        <v/>
      </c>
    </row>
    <row r="326" spans="22:27" x14ac:dyDescent="0.15">
      <c r="V326" s="2" t="str">
        <f t="shared" si="9"/>
        <v/>
      </c>
      <c r="Y326" s="2" t="str">
        <f t="array" ref="Y326">IF(X326&lt;&gt;"",IFERROR(INDEX($AB$3:$AD$600,MATCH(1,($AB$3:$AB$600=W326)*($AC$3:$AC$600=X326),0),3),"Don’t Exists"),"")</f>
        <v/>
      </c>
      <c r="AA326" s="2" t="str">
        <f t="shared" si="10"/>
        <v/>
      </c>
    </row>
    <row r="327" spans="22:27" x14ac:dyDescent="0.15">
      <c r="V327" s="2" t="str">
        <f t="shared" si="9"/>
        <v/>
      </c>
      <c r="Y327" s="2" t="str">
        <f t="array" ref="Y327">IF(X327&lt;&gt;"",IFERROR(INDEX($AB$3:$AD$600,MATCH(1,($AB$3:$AB$600=W327)*($AC$3:$AC$600=X327),0),3),"Don’t Exists"),"")</f>
        <v/>
      </c>
      <c r="AA327" s="2" t="str">
        <f t="shared" si="10"/>
        <v/>
      </c>
    </row>
    <row r="328" spans="22:27" x14ac:dyDescent="0.15">
      <c r="V328" s="2" t="str">
        <f t="shared" si="9"/>
        <v/>
      </c>
      <c r="Y328" s="2" t="str">
        <f t="array" ref="Y328">IF(X328&lt;&gt;"",IFERROR(INDEX($AB$3:$AD$600,MATCH(1,($AB$3:$AB$600=W328)*($AC$3:$AC$600=X328),0),3),"Don’t Exists"),"")</f>
        <v/>
      </c>
      <c r="AA328" s="2" t="str">
        <f t="shared" si="10"/>
        <v/>
      </c>
    </row>
    <row r="329" spans="22:27" x14ac:dyDescent="0.15">
      <c r="V329" s="2" t="str">
        <f t="shared" si="9"/>
        <v/>
      </c>
      <c r="Y329" s="2" t="str">
        <f t="array" ref="Y329">IF(X329&lt;&gt;"",IFERROR(INDEX($AB$3:$AD$600,MATCH(1,($AB$3:$AB$600=W329)*($AC$3:$AC$600=X329),0),3),"Don’t Exists"),"")</f>
        <v/>
      </c>
      <c r="AA329" s="2" t="str">
        <f t="shared" si="10"/>
        <v/>
      </c>
    </row>
    <row r="330" spans="22:27" x14ac:dyDescent="0.15">
      <c r="V330" s="2" t="str">
        <f t="shared" si="9"/>
        <v/>
      </c>
      <c r="Y330" s="2" t="str">
        <f t="array" ref="Y330">IF(X330&lt;&gt;"",IFERROR(INDEX($AB$3:$AD$600,MATCH(1,($AB$3:$AB$600=W330)*($AC$3:$AC$600=X330),0),3),"Don’t Exists"),"")</f>
        <v/>
      </c>
      <c r="AA330" s="2" t="str">
        <f t="shared" si="10"/>
        <v/>
      </c>
    </row>
    <row r="331" spans="22:27" x14ac:dyDescent="0.15">
      <c r="V331" s="2" t="str">
        <f t="shared" si="9"/>
        <v/>
      </c>
      <c r="Y331" s="2" t="str">
        <f t="array" ref="Y331">IF(X331&lt;&gt;"",IFERROR(INDEX($AB$3:$AD$600,MATCH(1,($AB$3:$AB$600=W331)*($AC$3:$AC$600=X331),0),3),"Don’t Exists"),"")</f>
        <v/>
      </c>
      <c r="AA331" s="2" t="str">
        <f t="shared" si="10"/>
        <v/>
      </c>
    </row>
    <row r="332" spans="22:27" x14ac:dyDescent="0.15">
      <c r="V332" s="2" t="str">
        <f t="shared" si="9"/>
        <v/>
      </c>
      <c r="Y332" s="2" t="str">
        <f t="array" ref="Y332">IF(X332&lt;&gt;"",IFERROR(INDEX($AB$3:$AD$600,MATCH(1,($AB$3:$AB$600=W332)*($AC$3:$AC$600=X332),0),3),"Don’t Exists"),"")</f>
        <v/>
      </c>
      <c r="AA332" s="2" t="str">
        <f t="shared" si="10"/>
        <v/>
      </c>
    </row>
    <row r="333" spans="22:27" x14ac:dyDescent="0.15">
      <c r="V333" s="2" t="str">
        <f t="shared" ref="V333:V396" si="11">IF(X333&lt;&gt;"",ROW()-ROW(V$11),"")</f>
        <v/>
      </c>
      <c r="Y333" s="2" t="str">
        <f t="array" ref="Y333">IF(X333&lt;&gt;"",IFERROR(INDEX($AB$3:$AD$600,MATCH(1,($AB$3:$AB$600=W333)*($AC$3:$AC$600=X333),0),3),"Don’t Exists"),"")</f>
        <v/>
      </c>
      <c r="AA333" s="2" t="str">
        <f t="shared" si="10"/>
        <v/>
      </c>
    </row>
    <row r="334" spans="22:27" x14ac:dyDescent="0.15">
      <c r="V334" s="2" t="str">
        <f t="shared" si="11"/>
        <v/>
      </c>
      <c r="Y334" s="2" t="str">
        <f t="array" ref="Y334">IF(X334&lt;&gt;"",IFERROR(INDEX($AB$3:$AD$600,MATCH(1,($AB$3:$AB$600=W334)*($AC$3:$AC$600=X334),0),3),"Don’t Exists"),"")</f>
        <v/>
      </c>
      <c r="AA334" s="2" t="str">
        <f t="shared" si="10"/>
        <v/>
      </c>
    </row>
    <row r="335" spans="22:27" x14ac:dyDescent="0.15">
      <c r="V335" s="2" t="str">
        <f t="shared" si="11"/>
        <v/>
      </c>
      <c r="Y335" s="2" t="str">
        <f t="array" ref="Y335">IF(X335&lt;&gt;"",IFERROR(INDEX($AB$3:$AD$600,MATCH(1,($AB$3:$AB$600=W335)*($AC$3:$AC$600=X335),0),3),"Don’t Exists"),"")</f>
        <v/>
      </c>
      <c r="AA335" s="2" t="str">
        <f t="shared" si="10"/>
        <v/>
      </c>
    </row>
    <row r="336" spans="22:27" x14ac:dyDescent="0.15">
      <c r="V336" s="2" t="str">
        <f t="shared" si="11"/>
        <v/>
      </c>
      <c r="Y336" s="2" t="str">
        <f t="array" ref="Y336">IF(X336&lt;&gt;"",IFERROR(INDEX($AB$3:$AD$600,MATCH(1,($AB$3:$AB$600=W336)*($AC$3:$AC$600=X336),0),3),"Don’t Exists"),"")</f>
        <v/>
      </c>
      <c r="AA336" s="2" t="str">
        <f t="shared" si="10"/>
        <v/>
      </c>
    </row>
    <row r="337" spans="22:27" x14ac:dyDescent="0.15">
      <c r="V337" s="2" t="str">
        <f t="shared" si="11"/>
        <v/>
      </c>
      <c r="Y337" s="2" t="str">
        <f t="array" ref="Y337">IF(X337&lt;&gt;"",IFERROR(INDEX($AB$3:$AD$600,MATCH(1,($AB$3:$AB$600=W337)*($AC$3:$AC$600=X337),0),3),"Don’t Exists"),"")</f>
        <v/>
      </c>
      <c r="AA337" s="2" t="str">
        <f t="shared" si="10"/>
        <v/>
      </c>
    </row>
    <row r="338" spans="22:27" x14ac:dyDescent="0.15">
      <c r="V338" s="2" t="str">
        <f t="shared" si="11"/>
        <v/>
      </c>
      <c r="Y338" s="2" t="str">
        <f t="array" ref="Y338">IF(X338&lt;&gt;"",IFERROR(INDEX($AB$3:$AD$600,MATCH(1,($AB$3:$AB$600=W338)*($AC$3:$AC$600=X338),0),3),"Don’t Exists"),"")</f>
        <v/>
      </c>
      <c r="AA338" s="2" t="str">
        <f t="shared" si="10"/>
        <v/>
      </c>
    </row>
    <row r="339" spans="22:27" x14ac:dyDescent="0.15">
      <c r="V339" s="2" t="str">
        <f t="shared" si="11"/>
        <v/>
      </c>
      <c r="Y339" s="2" t="str">
        <f t="array" ref="Y339">IF(X339&lt;&gt;"",IFERROR(INDEX($AB$3:$AD$600,MATCH(1,($AB$3:$AB$600=W339)*($AC$3:$AC$600=X339),0),3),"Don’t Exists"),"")</f>
        <v/>
      </c>
      <c r="AA339" s="2" t="str">
        <f t="shared" si="10"/>
        <v/>
      </c>
    </row>
    <row r="340" spans="22:27" x14ac:dyDescent="0.15">
      <c r="V340" s="2" t="str">
        <f t="shared" si="11"/>
        <v/>
      </c>
      <c r="Y340" s="2" t="str">
        <f t="array" ref="Y340">IF(X340&lt;&gt;"",IFERROR(INDEX($AB$3:$AD$600,MATCH(1,($AB$3:$AB$600=W340)*($AC$3:$AC$600=X340),0),3),"Don’t Exists"),"")</f>
        <v/>
      </c>
      <c r="AA340" s="2" t="str">
        <f t="shared" si="10"/>
        <v/>
      </c>
    </row>
    <row r="341" spans="22:27" x14ac:dyDescent="0.15">
      <c r="V341" s="2" t="str">
        <f t="shared" si="11"/>
        <v/>
      </c>
      <c r="Y341" s="2" t="str">
        <f t="array" ref="Y341">IF(X341&lt;&gt;"",IFERROR(INDEX($AB$3:$AD$600,MATCH(1,($AB$3:$AB$600=W341)*($AC$3:$AC$600=X341),0),3),"Don’t Exists"),"")</f>
        <v/>
      </c>
      <c r="AA341" s="2" t="str">
        <f t="shared" si="10"/>
        <v/>
      </c>
    </row>
    <row r="342" spans="22:27" x14ac:dyDescent="0.15">
      <c r="V342" s="2" t="str">
        <f t="shared" si="11"/>
        <v/>
      </c>
      <c r="Y342" s="2" t="str">
        <f t="array" ref="Y342">IF(X342&lt;&gt;"",IFERROR(INDEX($AB$3:$AD$600,MATCH(1,($AB$3:$AB$600=W342)*($AC$3:$AC$600=X342),0),3),"Don’t Exists"),"")</f>
        <v/>
      </c>
      <c r="AA342" s="2" t="str">
        <f t="shared" si="10"/>
        <v/>
      </c>
    </row>
    <row r="343" spans="22:27" x14ac:dyDescent="0.15">
      <c r="V343" s="2" t="str">
        <f t="shared" si="11"/>
        <v/>
      </c>
      <c r="Y343" s="2" t="str">
        <f t="array" ref="Y343">IF(X343&lt;&gt;"",IFERROR(INDEX($AB$3:$AD$600,MATCH(1,($AB$3:$AB$600=W343)*($AC$3:$AC$600=X343),0),3),"Don’t Exists"),"")</f>
        <v/>
      </c>
      <c r="AA343" s="2" t="str">
        <f t="shared" si="10"/>
        <v/>
      </c>
    </row>
    <row r="344" spans="22:27" x14ac:dyDescent="0.15">
      <c r="V344" s="2" t="str">
        <f t="shared" si="11"/>
        <v/>
      </c>
      <c r="Y344" s="2" t="str">
        <f t="array" ref="Y344">IF(X344&lt;&gt;"",IFERROR(INDEX($AB$3:$AD$600,MATCH(1,($AB$3:$AB$600=W344)*($AC$3:$AC$600=X344),0),3),"Don’t Exists"),"")</f>
        <v/>
      </c>
      <c r="AA344" s="2" t="str">
        <f t="shared" si="10"/>
        <v/>
      </c>
    </row>
    <row r="345" spans="22:27" x14ac:dyDescent="0.15">
      <c r="V345" s="2" t="str">
        <f t="shared" si="11"/>
        <v/>
      </c>
      <c r="Y345" s="2" t="str">
        <f t="array" ref="Y345">IF(X345&lt;&gt;"",IFERROR(INDEX($AB$3:$AD$600,MATCH(1,($AB$3:$AB$600=W345)*($AC$3:$AC$600=X345),0),3),"Don’t Exists"),"")</f>
        <v/>
      </c>
      <c r="AA345" s="2" t="str">
        <f t="shared" si="10"/>
        <v/>
      </c>
    </row>
    <row r="346" spans="22:27" x14ac:dyDescent="0.15">
      <c r="V346" s="2" t="str">
        <f t="shared" si="11"/>
        <v/>
      </c>
      <c r="Y346" s="2" t="str">
        <f t="array" ref="Y346">IF(X346&lt;&gt;"",IFERROR(INDEX($AB$3:$AD$600,MATCH(1,($AB$3:$AB$600=W346)*($AC$3:$AC$600=X346),0),3),"Don’t Exists"),"")</f>
        <v/>
      </c>
      <c r="AA346" s="2" t="str">
        <f t="shared" si="10"/>
        <v/>
      </c>
    </row>
    <row r="347" spans="22:27" x14ac:dyDescent="0.15">
      <c r="V347" s="2" t="str">
        <f t="shared" si="11"/>
        <v/>
      </c>
      <c r="Y347" s="2" t="str">
        <f t="array" ref="Y347">IF(X347&lt;&gt;"",IFERROR(INDEX($AB$3:$AD$600,MATCH(1,($AB$3:$AB$600=W347)*($AC$3:$AC$600=X347),0),3),"Don’t Exists"),"")</f>
        <v/>
      </c>
      <c r="AA347" s="2" t="str">
        <f t="shared" si="10"/>
        <v/>
      </c>
    </row>
    <row r="348" spans="22:27" x14ac:dyDescent="0.15">
      <c r="V348" s="2" t="str">
        <f t="shared" si="11"/>
        <v/>
      </c>
      <c r="Y348" s="2" t="str">
        <f t="array" ref="Y348">IF(X348&lt;&gt;"",IFERROR(INDEX($AB$3:$AD$600,MATCH(1,($AB$3:$AB$600=W348)*($AC$3:$AC$600=X348),0),3),"Don’t Exists"),"")</f>
        <v/>
      </c>
      <c r="AA348" s="2" t="str">
        <f t="shared" si="10"/>
        <v/>
      </c>
    </row>
    <row r="349" spans="22:27" x14ac:dyDescent="0.15">
      <c r="V349" s="2" t="str">
        <f t="shared" si="11"/>
        <v/>
      </c>
      <c r="Y349" s="2" t="str">
        <f t="array" ref="Y349">IF(X349&lt;&gt;"",IFERROR(INDEX($AB$3:$AD$600,MATCH(1,($AB$3:$AB$600=W349)*($AC$3:$AC$600=X349),0),3),"Don’t Exists"),"")</f>
        <v/>
      </c>
      <c r="AA349" s="2" t="str">
        <f t="shared" si="10"/>
        <v/>
      </c>
    </row>
    <row r="350" spans="22:27" x14ac:dyDescent="0.15">
      <c r="V350" s="2" t="str">
        <f t="shared" si="11"/>
        <v/>
      </c>
      <c r="Y350" s="2" t="str">
        <f t="array" ref="Y350">IF(X350&lt;&gt;"",IFERROR(INDEX($AB$3:$AD$600,MATCH(1,($AB$3:$AB$600=W350)*($AC$3:$AC$600=X350),0),3),"Don’t Exists"),"")</f>
        <v/>
      </c>
      <c r="AA350" s="2" t="str">
        <f t="shared" si="10"/>
        <v/>
      </c>
    </row>
    <row r="351" spans="22:27" x14ac:dyDescent="0.15">
      <c r="V351" s="2" t="str">
        <f t="shared" si="11"/>
        <v/>
      </c>
      <c r="Y351" s="2" t="str">
        <f t="array" ref="Y351">IF(X351&lt;&gt;"",IFERROR(INDEX($AB$3:$AD$600,MATCH(1,($AB$3:$AB$600=W351)*($AC$3:$AC$600=X351),0),3),"Don’t Exists"),"")</f>
        <v/>
      </c>
      <c r="AA351" s="2" t="str">
        <f t="shared" si="10"/>
        <v/>
      </c>
    </row>
    <row r="352" spans="22:27" x14ac:dyDescent="0.15">
      <c r="V352" s="2" t="str">
        <f t="shared" si="11"/>
        <v/>
      </c>
      <c r="Y352" s="2" t="str">
        <f t="array" ref="Y352">IF(X352&lt;&gt;"",IFERROR(INDEX($AB$3:$AD$600,MATCH(1,($AB$3:$AB$600=W352)*($AC$3:$AC$600=X352),0),3),"Don’t Exists"),"")</f>
        <v/>
      </c>
      <c r="AA352" s="2" t="str">
        <f t="shared" si="10"/>
        <v/>
      </c>
    </row>
    <row r="353" spans="22:27" x14ac:dyDescent="0.15">
      <c r="V353" s="2" t="str">
        <f t="shared" si="11"/>
        <v/>
      </c>
      <c r="Y353" s="2" t="str">
        <f t="array" ref="Y353">IF(X353&lt;&gt;"",IFERROR(INDEX($AB$3:$AD$600,MATCH(1,($AB$3:$AB$600=W353)*($AC$3:$AC$600=X353),0),3),"Don’t Exists"),"")</f>
        <v/>
      </c>
      <c r="AA353" s="2" t="str">
        <f t="shared" si="10"/>
        <v/>
      </c>
    </row>
    <row r="354" spans="22:27" x14ac:dyDescent="0.15">
      <c r="V354" s="2" t="str">
        <f t="shared" si="11"/>
        <v/>
      </c>
      <c r="Y354" s="2" t="str">
        <f t="array" ref="Y354">IF(X354&lt;&gt;"",IFERROR(INDEX($AB$3:$AD$600,MATCH(1,($AB$3:$AB$600=W354)*($AC$3:$AC$600=X354),0),3),"Don’t Exists"),"")</f>
        <v/>
      </c>
      <c r="AA354" s="2" t="str">
        <f t="shared" si="10"/>
        <v/>
      </c>
    </row>
    <row r="355" spans="22:27" x14ac:dyDescent="0.15">
      <c r="V355" s="2" t="str">
        <f t="shared" si="11"/>
        <v/>
      </c>
      <c r="Y355" s="2" t="str">
        <f t="array" ref="Y355">IF(X355&lt;&gt;"",IFERROR(INDEX($AB$3:$AD$600,MATCH(1,($AB$3:$AB$600=W355)*($AC$3:$AC$600=X355),0),3),"Don’t Exists"),"")</f>
        <v/>
      </c>
      <c r="AA355" s="2" t="str">
        <f t="shared" si="10"/>
        <v/>
      </c>
    </row>
    <row r="356" spans="22:27" x14ac:dyDescent="0.15">
      <c r="V356" s="2" t="str">
        <f t="shared" si="11"/>
        <v/>
      </c>
      <c r="Y356" s="2" t="str">
        <f t="array" ref="Y356">IF(X356&lt;&gt;"",IFERROR(INDEX($AB$3:$AD$600,MATCH(1,($AB$3:$AB$600=W356)*($AC$3:$AC$600=X356),0),3),"Don’t Exists"),"")</f>
        <v/>
      </c>
      <c r="AA356" s="2" t="str">
        <f t="shared" si="10"/>
        <v/>
      </c>
    </row>
    <row r="357" spans="22:27" x14ac:dyDescent="0.15">
      <c r="V357" s="2" t="str">
        <f t="shared" si="11"/>
        <v/>
      </c>
      <c r="Y357" s="2" t="str">
        <f t="array" ref="Y357">IF(X357&lt;&gt;"",IFERROR(INDEX($AB$3:$AD$600,MATCH(1,($AB$3:$AB$600=W357)*($AC$3:$AC$600=X357),0),3),"Don’t Exists"),"")</f>
        <v/>
      </c>
      <c r="AA357" s="2" t="str">
        <f t="shared" si="10"/>
        <v/>
      </c>
    </row>
    <row r="358" spans="22:27" x14ac:dyDescent="0.15">
      <c r="V358" s="2" t="str">
        <f t="shared" si="11"/>
        <v/>
      </c>
      <c r="Y358" s="2" t="str">
        <f t="array" ref="Y358">IF(X358&lt;&gt;"",IFERROR(INDEX($AB$3:$AD$600,MATCH(1,($AB$3:$AB$600=W358)*($AC$3:$AC$600=X358),0),3),"Don’t Exists"),"")</f>
        <v/>
      </c>
      <c r="AA358" s="2" t="str">
        <f t="shared" si="10"/>
        <v/>
      </c>
    </row>
    <row r="359" spans="22:27" x14ac:dyDescent="0.15">
      <c r="V359" s="2" t="str">
        <f t="shared" si="11"/>
        <v/>
      </c>
      <c r="Y359" s="2" t="str">
        <f t="array" ref="Y359">IF(X359&lt;&gt;"",IFERROR(INDEX($AB$3:$AD$600,MATCH(1,($AB$3:$AB$600=W359)*($AC$3:$AC$600=X359),0),3),"Don’t Exists"),"")</f>
        <v/>
      </c>
      <c r="AA359" s="2" t="str">
        <f t="shared" si="10"/>
        <v/>
      </c>
    </row>
    <row r="360" spans="22:27" x14ac:dyDescent="0.15">
      <c r="V360" s="2" t="str">
        <f t="shared" si="11"/>
        <v/>
      </c>
      <c r="Y360" s="2" t="str">
        <f t="array" ref="Y360">IF(X360&lt;&gt;"",IFERROR(INDEX($AB$3:$AD$600,MATCH(1,($AB$3:$AB$600=W360)*($AC$3:$AC$600=X360),0),3),"Don’t Exists"),"")</f>
        <v/>
      </c>
      <c r="AA360" s="2" t="str">
        <f t="shared" si="10"/>
        <v/>
      </c>
    </row>
    <row r="361" spans="22:27" x14ac:dyDescent="0.15">
      <c r="V361" s="2" t="str">
        <f t="shared" si="11"/>
        <v/>
      </c>
      <c r="Y361" s="2" t="str">
        <f t="array" ref="Y361">IF(X361&lt;&gt;"",IFERROR(INDEX($AB$3:$AD$600,MATCH(1,($AB$3:$AB$600=W361)*($AC$3:$AC$600=X361),0),3),"Don’t Exists"),"")</f>
        <v/>
      </c>
      <c r="AA361" s="2" t="str">
        <f t="shared" si="10"/>
        <v/>
      </c>
    </row>
    <row r="362" spans="22:27" x14ac:dyDescent="0.15">
      <c r="V362" s="2" t="str">
        <f t="shared" si="11"/>
        <v/>
      </c>
      <c r="Y362" s="2" t="str">
        <f t="array" ref="Y362">IF(X362&lt;&gt;"",IFERROR(INDEX($AB$3:$AD$600,MATCH(1,($AB$3:$AB$600=W362)*($AC$3:$AC$600=X362),0),3),"Don’t Exists"),"")</f>
        <v/>
      </c>
      <c r="AA362" s="2" t="str">
        <f t="shared" si="10"/>
        <v/>
      </c>
    </row>
    <row r="363" spans="22:27" x14ac:dyDescent="0.15">
      <c r="V363" s="2" t="str">
        <f t="shared" si="11"/>
        <v/>
      </c>
      <c r="Y363" s="2" t="str">
        <f t="array" ref="Y363">IF(X363&lt;&gt;"",IFERROR(INDEX($AB$3:$AD$600,MATCH(1,($AB$3:$AB$600=W363)*($AC$3:$AC$600=X363),0),3),"Don’t Exists"),"")</f>
        <v/>
      </c>
      <c r="AA363" s="2" t="str">
        <f t="shared" si="10"/>
        <v/>
      </c>
    </row>
    <row r="364" spans="22:27" x14ac:dyDescent="0.15">
      <c r="V364" s="2" t="str">
        <f t="shared" si="11"/>
        <v/>
      </c>
      <c r="Y364" s="2" t="str">
        <f t="array" ref="Y364">IF(X364&lt;&gt;"",IFERROR(INDEX($AB$3:$AD$600,MATCH(1,($AB$3:$AB$600=W364)*($AC$3:$AC$600=X364),0),3),"Don’t Exists"),"")</f>
        <v/>
      </c>
      <c r="AA364" s="2" t="str">
        <f t="shared" si="10"/>
        <v/>
      </c>
    </row>
    <row r="365" spans="22:27" x14ac:dyDescent="0.15">
      <c r="V365" s="2" t="str">
        <f t="shared" si="11"/>
        <v/>
      </c>
      <c r="Y365" s="2" t="str">
        <f t="array" ref="Y365">IF(X365&lt;&gt;"",IFERROR(INDEX($AB$3:$AD$600,MATCH(1,($AB$3:$AB$600=W365)*($AC$3:$AC$600=X365),0),3),"Don’t Exists"),"")</f>
        <v/>
      </c>
      <c r="AA365" s="2" t="str">
        <f t="shared" si="10"/>
        <v/>
      </c>
    </row>
    <row r="366" spans="22:27" x14ac:dyDescent="0.15">
      <c r="V366" s="2" t="str">
        <f t="shared" si="11"/>
        <v/>
      </c>
      <c r="Y366" s="2" t="str">
        <f t="array" ref="Y366">IF(X366&lt;&gt;"",IFERROR(INDEX($AB$3:$AD$600,MATCH(1,($AB$3:$AB$600=W366)*($AC$3:$AC$600=X366),0),3),"Don’t Exists"),"")</f>
        <v/>
      </c>
      <c r="AA366" s="2" t="str">
        <f t="shared" si="10"/>
        <v/>
      </c>
    </row>
    <row r="367" spans="22:27" x14ac:dyDescent="0.15">
      <c r="V367" s="2" t="str">
        <f t="shared" si="11"/>
        <v/>
      </c>
      <c r="Y367" s="2" t="str">
        <f t="array" ref="Y367">IF(X367&lt;&gt;"",IFERROR(INDEX($AB$3:$AD$600,MATCH(1,($AB$3:$AB$600=W367)*($AC$3:$AC$600=X367),0),3),"Don’t Exists"),"")</f>
        <v/>
      </c>
      <c r="AA367" s="2" t="str">
        <f t="shared" si="10"/>
        <v/>
      </c>
    </row>
    <row r="368" spans="22:27" x14ac:dyDescent="0.15">
      <c r="V368" s="2" t="str">
        <f t="shared" si="11"/>
        <v/>
      </c>
      <c r="Y368" s="2" t="str">
        <f t="array" ref="Y368">IF(X368&lt;&gt;"",IFERROR(INDEX($AB$3:$AD$600,MATCH(1,($AB$3:$AB$600=W368)*($AC$3:$AC$600=X368),0),3),"Don’t Exists"),"")</f>
        <v/>
      </c>
      <c r="AA368" s="2" t="str">
        <f t="shared" si="10"/>
        <v/>
      </c>
    </row>
    <row r="369" spans="22:27" x14ac:dyDescent="0.15">
      <c r="V369" s="2" t="str">
        <f t="shared" si="11"/>
        <v/>
      </c>
      <c r="Y369" s="2" t="str">
        <f t="array" ref="Y369">IF(X369&lt;&gt;"",IFERROR(INDEX($AB$3:$AD$600,MATCH(1,($AB$3:$AB$600=W369)*($AC$3:$AC$600=X369),0),3),"Don’t Exists"),"")</f>
        <v/>
      </c>
      <c r="AA369" s="2" t="str">
        <f t="shared" si="10"/>
        <v/>
      </c>
    </row>
    <row r="370" spans="22:27" x14ac:dyDescent="0.15">
      <c r="V370" s="2" t="str">
        <f t="shared" si="11"/>
        <v/>
      </c>
      <c r="Y370" s="2" t="str">
        <f t="array" ref="Y370">IF(X370&lt;&gt;"",IFERROR(INDEX($AB$3:$AD$600,MATCH(1,($AB$3:$AB$600=W370)*($AC$3:$AC$600=X370),0),3),"Don’t Exists"),"")</f>
        <v/>
      </c>
      <c r="AA370" s="2" t="str">
        <f t="shared" si="10"/>
        <v/>
      </c>
    </row>
    <row r="371" spans="22:27" x14ac:dyDescent="0.15">
      <c r="V371" s="2" t="str">
        <f t="shared" si="11"/>
        <v/>
      </c>
      <c r="Y371" s="2" t="str">
        <f t="array" ref="Y371">IF(X371&lt;&gt;"",IFERROR(INDEX($AB$3:$AD$600,MATCH(1,($AB$3:$AB$600=W371)*($AC$3:$AC$600=X371),0),3),"Don’t Exists"),"")</f>
        <v/>
      </c>
      <c r="AA371" s="2" t="str">
        <f t="shared" si="10"/>
        <v/>
      </c>
    </row>
    <row r="372" spans="22:27" x14ac:dyDescent="0.15">
      <c r="V372" s="2" t="str">
        <f t="shared" si="11"/>
        <v/>
      </c>
      <c r="Y372" s="2" t="str">
        <f t="array" ref="Y372">IF(X372&lt;&gt;"",IFERROR(INDEX($AB$3:$AD$600,MATCH(1,($AB$3:$AB$600=W372)*($AC$3:$AC$600=X372),0),3),"Don’t Exists"),"")</f>
        <v/>
      </c>
      <c r="AA372" s="2" t="str">
        <f t="shared" si="10"/>
        <v/>
      </c>
    </row>
    <row r="373" spans="22:27" x14ac:dyDescent="0.15">
      <c r="V373" s="2" t="str">
        <f t="shared" si="11"/>
        <v/>
      </c>
      <c r="Y373" s="2" t="str">
        <f t="array" ref="Y373">IF(X373&lt;&gt;"",IFERROR(INDEX($AB$3:$AD$600,MATCH(1,($AB$3:$AB$600=W373)*($AC$3:$AC$600=X373),0),3),"Don’t Exists"),"")</f>
        <v/>
      </c>
      <c r="AA373" s="2" t="str">
        <f t="shared" si="10"/>
        <v/>
      </c>
    </row>
    <row r="374" spans="22:27" x14ac:dyDescent="0.15">
      <c r="V374" s="2" t="str">
        <f t="shared" si="11"/>
        <v/>
      </c>
      <c r="Y374" s="2" t="str">
        <f t="array" ref="Y374">IF(X374&lt;&gt;"",IFERROR(INDEX($AB$3:$AD$600,MATCH(1,($AB$3:$AB$600=W374)*($AC$3:$AC$600=X374),0),3),"Don’t Exists"),"")</f>
        <v/>
      </c>
      <c r="AA374" s="2" t="str">
        <f t="shared" si="10"/>
        <v/>
      </c>
    </row>
    <row r="375" spans="22:27" x14ac:dyDescent="0.15">
      <c r="V375" s="2" t="str">
        <f t="shared" si="11"/>
        <v/>
      </c>
      <c r="Y375" s="2" t="str">
        <f t="array" ref="Y375">IF(X375&lt;&gt;"",IFERROR(INDEX($AB$3:$AD$600,MATCH(1,($AB$3:$AB$600=W375)*($AC$3:$AC$600=X375),0),3),"Don’t Exists"),"")</f>
        <v/>
      </c>
      <c r="AA375" s="2" t="str">
        <f t="shared" si="10"/>
        <v/>
      </c>
    </row>
    <row r="376" spans="22:27" x14ac:dyDescent="0.15">
      <c r="V376" s="2" t="str">
        <f t="shared" si="11"/>
        <v/>
      </c>
      <c r="Y376" s="2" t="str">
        <f t="array" ref="Y376">IF(X376&lt;&gt;"",IFERROR(INDEX($AB$3:$AD$600,MATCH(1,($AB$3:$AB$600=W376)*($AC$3:$AC$600=X376),0),3),"Don’t Exists"),"")</f>
        <v/>
      </c>
      <c r="AA376" s="2" t="str">
        <f t="shared" si="10"/>
        <v/>
      </c>
    </row>
    <row r="377" spans="22:27" x14ac:dyDescent="0.15">
      <c r="V377" s="2" t="str">
        <f t="shared" si="11"/>
        <v/>
      </c>
      <c r="Y377" s="2" t="str">
        <f t="array" ref="Y377">IF(X377&lt;&gt;"",IFERROR(INDEX($AB$3:$AD$600,MATCH(1,($AB$3:$AB$600=W377)*($AC$3:$AC$600=X377),0),3),"Don’t Exists"),"")</f>
        <v/>
      </c>
      <c r="AA377" s="2" t="str">
        <f t="shared" si="10"/>
        <v/>
      </c>
    </row>
    <row r="378" spans="22:27" x14ac:dyDescent="0.15">
      <c r="V378" s="2" t="str">
        <f t="shared" si="11"/>
        <v/>
      </c>
      <c r="Y378" s="2" t="str">
        <f t="array" ref="Y378">IF(X378&lt;&gt;"",IFERROR(INDEX($AB$3:$AD$600,MATCH(1,($AB$3:$AB$600=W378)*($AC$3:$AC$600=X378),0),3),"Don’t Exists"),"")</f>
        <v/>
      </c>
      <c r="AA378" s="2" t="str">
        <f t="shared" si="10"/>
        <v/>
      </c>
    </row>
    <row r="379" spans="22:27" x14ac:dyDescent="0.15">
      <c r="V379" s="2" t="str">
        <f t="shared" si="11"/>
        <v/>
      </c>
      <c r="Y379" s="2" t="str">
        <f t="array" ref="Y379">IF(X379&lt;&gt;"",IFERROR(INDEX($AB$3:$AD$600,MATCH(1,($AB$3:$AB$600=W379)*($AC$3:$AC$600=X379),0),3),"Don’t Exists"),"")</f>
        <v/>
      </c>
      <c r="AA379" s="2" t="str">
        <f t="shared" si="10"/>
        <v/>
      </c>
    </row>
    <row r="380" spans="22:27" x14ac:dyDescent="0.15">
      <c r="V380" s="2" t="str">
        <f t="shared" si="11"/>
        <v/>
      </c>
      <c r="Y380" s="2" t="str">
        <f t="array" ref="Y380">IF(X380&lt;&gt;"",IFERROR(INDEX($AB$3:$AD$600,MATCH(1,($AB$3:$AB$600=W380)*($AC$3:$AC$600=X380),0),3),"Don’t Exists"),"")</f>
        <v/>
      </c>
      <c r="AA380" s="2" t="str">
        <f t="shared" si="10"/>
        <v/>
      </c>
    </row>
    <row r="381" spans="22:27" x14ac:dyDescent="0.15">
      <c r="V381" s="2" t="str">
        <f t="shared" si="11"/>
        <v/>
      </c>
      <c r="Y381" s="2" t="str">
        <f t="array" ref="Y381">IF(X381&lt;&gt;"",IFERROR(INDEX($AB$3:$AD$600,MATCH(1,($AB$3:$AB$600=W381)*($AC$3:$AC$600=X381),0),3),"Don’t Exists"),"")</f>
        <v/>
      </c>
      <c r="AA381" s="2" t="str">
        <f t="shared" si="10"/>
        <v/>
      </c>
    </row>
    <row r="382" spans="22:27" x14ac:dyDescent="0.15">
      <c r="V382" s="2" t="str">
        <f t="shared" si="11"/>
        <v/>
      </c>
      <c r="Y382" s="2" t="str">
        <f t="array" ref="Y382">IF(X382&lt;&gt;"",IFERROR(INDEX($AB$3:$AD$600,MATCH(1,($AB$3:$AB$600=W382)*($AC$3:$AC$600=X382),0),3),"Don’t Exists"),"")</f>
        <v/>
      </c>
      <c r="AA382" s="2" t="str">
        <f t="shared" si="10"/>
        <v/>
      </c>
    </row>
    <row r="383" spans="22:27" x14ac:dyDescent="0.15">
      <c r="V383" s="2" t="str">
        <f t="shared" si="11"/>
        <v/>
      </c>
      <c r="Y383" s="2" t="str">
        <f t="array" ref="Y383">IF(X383&lt;&gt;"",IFERROR(INDEX($AB$3:$AD$600,MATCH(1,($AB$3:$AB$600=W383)*($AC$3:$AC$600=X383),0),3),"Don’t Exists"),"")</f>
        <v/>
      </c>
      <c r="AA383" s="2" t="str">
        <f t="shared" si="10"/>
        <v/>
      </c>
    </row>
    <row r="384" spans="22:27" x14ac:dyDescent="0.15">
      <c r="V384" s="2" t="str">
        <f t="shared" si="11"/>
        <v/>
      </c>
      <c r="Y384" s="2" t="str">
        <f t="array" ref="Y384">IF(X384&lt;&gt;"",IFERROR(INDEX($AB$3:$AD$600,MATCH(1,($AB$3:$AB$600=W384)*($AC$3:$AC$600=X384),0),3),"Don’t Exists"),"")</f>
        <v/>
      </c>
      <c r="AA384" s="2" t="str">
        <f t="shared" si="10"/>
        <v/>
      </c>
    </row>
    <row r="385" spans="22:27" x14ac:dyDescent="0.15">
      <c r="V385" s="2" t="str">
        <f t="shared" si="11"/>
        <v/>
      </c>
      <c r="Y385" s="2" t="str">
        <f t="array" ref="Y385">IF(X385&lt;&gt;"",IFERROR(INDEX($AB$3:$AD$600,MATCH(1,($AB$3:$AB$600=W385)*($AC$3:$AC$600=X385),0),3),"Don’t Exists"),"")</f>
        <v/>
      </c>
      <c r="AA385" s="2" t="str">
        <f t="shared" si="10"/>
        <v/>
      </c>
    </row>
    <row r="386" spans="22:27" x14ac:dyDescent="0.15">
      <c r="V386" s="2" t="str">
        <f t="shared" si="11"/>
        <v/>
      </c>
      <c r="Y386" s="2" t="str">
        <f t="array" ref="Y386">IF(X386&lt;&gt;"",IFERROR(INDEX($AB$3:$AD$600,MATCH(1,($AB$3:$AB$600=W386)*($AC$3:$AC$600=X386),0),3),"Don’t Exists"),"")</f>
        <v/>
      </c>
      <c r="AA386" s="2" t="str">
        <f t="shared" si="10"/>
        <v/>
      </c>
    </row>
    <row r="387" spans="22:27" x14ac:dyDescent="0.15">
      <c r="V387" s="2" t="str">
        <f t="shared" si="11"/>
        <v/>
      </c>
      <c r="Y387" s="2" t="str">
        <f t="array" ref="Y387">IF(X387&lt;&gt;"",IFERROR(INDEX($AB$3:$AD$600,MATCH(1,($AB$3:$AB$600=W387)*($AC$3:$AC$600=X387),0),3),"Don’t Exists"),"")</f>
        <v/>
      </c>
      <c r="AA387" s="2" t="str">
        <f t="shared" si="10"/>
        <v/>
      </c>
    </row>
    <row r="388" spans="22:27" x14ac:dyDescent="0.15">
      <c r="V388" s="2" t="str">
        <f t="shared" si="11"/>
        <v/>
      </c>
      <c r="Y388" s="2" t="str">
        <f t="array" ref="Y388">IF(X388&lt;&gt;"",IFERROR(INDEX($AB$3:$AD$600,MATCH(1,($AB$3:$AB$600=W388)*($AC$3:$AC$600=X388),0),3),"Don’t Exists"),"")</f>
        <v/>
      </c>
      <c r="AA388" s="2" t="str">
        <f t="shared" ref="AA388:AA451" si="12">IF(AC388&lt;&gt;"",ROW()-2,"")</f>
        <v/>
      </c>
    </row>
    <row r="389" spans="22:27" x14ac:dyDescent="0.15">
      <c r="V389" s="2" t="str">
        <f t="shared" si="11"/>
        <v/>
      </c>
      <c r="Y389" s="2" t="str">
        <f t="array" ref="Y389">IF(X389&lt;&gt;"",IFERROR(INDEX($AB$3:$AD$600,MATCH(1,($AB$3:$AB$600=W389)*($AC$3:$AC$600=X389),0),3),"Don’t Exists"),"")</f>
        <v/>
      </c>
      <c r="AA389" s="2" t="str">
        <f t="shared" si="12"/>
        <v/>
      </c>
    </row>
    <row r="390" spans="22:27" x14ac:dyDescent="0.15">
      <c r="V390" s="2" t="str">
        <f t="shared" si="11"/>
        <v/>
      </c>
      <c r="Y390" s="2" t="str">
        <f t="array" ref="Y390">IF(X390&lt;&gt;"",IFERROR(INDEX($AB$3:$AD$600,MATCH(1,($AB$3:$AB$600=W390)*($AC$3:$AC$600=X390),0),3),"Don’t Exists"),"")</f>
        <v/>
      </c>
      <c r="AA390" s="2" t="str">
        <f t="shared" si="12"/>
        <v/>
      </c>
    </row>
    <row r="391" spans="22:27" x14ac:dyDescent="0.15">
      <c r="V391" s="2" t="str">
        <f t="shared" si="11"/>
        <v/>
      </c>
      <c r="Y391" s="2" t="str">
        <f t="array" ref="Y391">IF(X391&lt;&gt;"",IFERROR(INDEX($AB$3:$AD$600,MATCH(1,($AB$3:$AB$600=W391)*($AC$3:$AC$600=X391),0),3),"Don’t Exists"),"")</f>
        <v/>
      </c>
      <c r="AA391" s="2" t="str">
        <f t="shared" si="12"/>
        <v/>
      </c>
    </row>
    <row r="392" spans="22:27" x14ac:dyDescent="0.15">
      <c r="V392" s="2" t="str">
        <f t="shared" si="11"/>
        <v/>
      </c>
      <c r="Y392" s="2" t="str">
        <f t="array" ref="Y392">IF(X392&lt;&gt;"",IFERROR(INDEX($AB$3:$AD$600,MATCH(1,($AB$3:$AB$600=W392)*($AC$3:$AC$600=X392),0),3),"Don’t Exists"),"")</f>
        <v/>
      </c>
      <c r="AA392" s="2" t="str">
        <f t="shared" si="12"/>
        <v/>
      </c>
    </row>
    <row r="393" spans="22:27" x14ac:dyDescent="0.15">
      <c r="V393" s="2" t="str">
        <f t="shared" si="11"/>
        <v/>
      </c>
      <c r="Y393" s="2" t="str">
        <f t="array" ref="Y393">IF(X393&lt;&gt;"",IFERROR(INDEX($AB$3:$AD$600,MATCH(1,($AB$3:$AB$600=W393)*($AC$3:$AC$600=X393),0),3),"Don’t Exists"),"")</f>
        <v/>
      </c>
      <c r="AA393" s="2" t="str">
        <f t="shared" si="12"/>
        <v/>
      </c>
    </row>
    <row r="394" spans="22:27" x14ac:dyDescent="0.15">
      <c r="V394" s="2" t="str">
        <f t="shared" si="11"/>
        <v/>
      </c>
      <c r="Y394" s="2" t="str">
        <f t="array" ref="Y394">IF(X394&lt;&gt;"",IFERROR(INDEX($AB$3:$AD$600,MATCH(1,($AB$3:$AB$600=W394)*($AC$3:$AC$600=X394),0),3),"Don’t Exists"),"")</f>
        <v/>
      </c>
      <c r="AA394" s="2" t="str">
        <f t="shared" si="12"/>
        <v/>
      </c>
    </row>
    <row r="395" spans="22:27" x14ac:dyDescent="0.15">
      <c r="V395" s="2" t="str">
        <f t="shared" si="11"/>
        <v/>
      </c>
      <c r="Y395" s="2" t="str">
        <f t="array" ref="Y395">IF(X395&lt;&gt;"",IFERROR(INDEX($AB$3:$AD$600,MATCH(1,($AB$3:$AB$600=W395)*($AC$3:$AC$600=X395),0),3),"Don’t Exists"),"")</f>
        <v/>
      </c>
      <c r="AA395" s="2" t="str">
        <f t="shared" si="12"/>
        <v/>
      </c>
    </row>
    <row r="396" spans="22:27" x14ac:dyDescent="0.15">
      <c r="V396" s="2" t="str">
        <f t="shared" si="11"/>
        <v/>
      </c>
      <c r="Y396" s="2" t="str">
        <f t="array" ref="Y396">IF(X396&lt;&gt;"",IFERROR(INDEX($AB$3:$AD$600,MATCH(1,($AB$3:$AB$600=W396)*($AC$3:$AC$600=X396),0),3),"Don’t Exists"),"")</f>
        <v/>
      </c>
      <c r="AA396" s="2" t="str">
        <f t="shared" si="12"/>
        <v/>
      </c>
    </row>
    <row r="397" spans="22:27" x14ac:dyDescent="0.15">
      <c r="V397" s="2" t="str">
        <f t="shared" ref="V397:V460" si="13">IF(X397&lt;&gt;"",ROW()-ROW(V$11),"")</f>
        <v/>
      </c>
      <c r="Y397" s="2" t="str">
        <f t="array" ref="Y397">IF(X397&lt;&gt;"",IFERROR(INDEX($AB$3:$AD$600,MATCH(1,($AB$3:$AB$600=W397)*($AC$3:$AC$600=X397),0),3),"Don’t Exists"),"")</f>
        <v/>
      </c>
      <c r="AA397" s="2" t="str">
        <f t="shared" si="12"/>
        <v/>
      </c>
    </row>
    <row r="398" spans="22:27" x14ac:dyDescent="0.15">
      <c r="V398" s="2" t="str">
        <f t="shared" si="13"/>
        <v/>
      </c>
      <c r="Y398" s="2" t="str">
        <f t="array" ref="Y398">IF(X398&lt;&gt;"",IFERROR(INDEX($AB$3:$AD$600,MATCH(1,($AB$3:$AB$600=W398)*($AC$3:$AC$600=X398),0),3),"Don’t Exists"),"")</f>
        <v/>
      </c>
      <c r="AA398" s="2" t="str">
        <f t="shared" si="12"/>
        <v/>
      </c>
    </row>
    <row r="399" spans="22:27" x14ac:dyDescent="0.15">
      <c r="V399" s="2" t="str">
        <f t="shared" si="13"/>
        <v/>
      </c>
      <c r="Y399" s="2" t="str">
        <f t="array" ref="Y399">IF(X399&lt;&gt;"",IFERROR(INDEX($AB$3:$AD$600,MATCH(1,($AB$3:$AB$600=W399)*($AC$3:$AC$600=X399),0),3),"Don’t Exists"),"")</f>
        <v/>
      </c>
      <c r="AA399" s="2" t="str">
        <f t="shared" si="12"/>
        <v/>
      </c>
    </row>
    <row r="400" spans="22:27" x14ac:dyDescent="0.15">
      <c r="V400" s="2" t="str">
        <f t="shared" si="13"/>
        <v/>
      </c>
      <c r="Y400" s="2" t="str">
        <f t="array" ref="Y400">IF(X400&lt;&gt;"",IFERROR(INDEX($AB$3:$AD$600,MATCH(1,($AB$3:$AB$600=W400)*($AC$3:$AC$600=X400),0),3),"Don’t Exists"),"")</f>
        <v/>
      </c>
      <c r="AA400" s="2" t="str">
        <f t="shared" si="12"/>
        <v/>
      </c>
    </row>
    <row r="401" spans="22:27" x14ac:dyDescent="0.15">
      <c r="V401" s="2" t="str">
        <f t="shared" si="13"/>
        <v/>
      </c>
      <c r="Y401" s="2" t="str">
        <f t="array" ref="Y401">IF(X401&lt;&gt;"",IFERROR(INDEX($AB$3:$AD$600,MATCH(1,($AB$3:$AB$600=W401)*($AC$3:$AC$600=X401),0),3),"Don’t Exists"),"")</f>
        <v/>
      </c>
      <c r="AA401" s="2" t="str">
        <f t="shared" si="12"/>
        <v/>
      </c>
    </row>
    <row r="402" spans="22:27" x14ac:dyDescent="0.15">
      <c r="V402" s="2" t="str">
        <f t="shared" si="13"/>
        <v/>
      </c>
      <c r="Y402" s="2" t="str">
        <f t="array" ref="Y402">IF(X402&lt;&gt;"",IFERROR(INDEX($AB$3:$AD$600,MATCH(1,($AB$3:$AB$600=W402)*($AC$3:$AC$600=X402),0),3),"Don’t Exists"),"")</f>
        <v/>
      </c>
      <c r="AA402" s="2" t="str">
        <f t="shared" si="12"/>
        <v/>
      </c>
    </row>
    <row r="403" spans="22:27" x14ac:dyDescent="0.15">
      <c r="V403" s="2" t="str">
        <f t="shared" si="13"/>
        <v/>
      </c>
      <c r="Y403" s="2" t="str">
        <f t="array" ref="Y403">IF(X403&lt;&gt;"",IFERROR(INDEX($AB$3:$AD$600,MATCH(1,($AB$3:$AB$600=W403)*($AC$3:$AC$600=X403),0),3),"Don’t Exists"),"")</f>
        <v/>
      </c>
      <c r="AA403" s="2" t="str">
        <f t="shared" si="12"/>
        <v/>
      </c>
    </row>
    <row r="404" spans="22:27" x14ac:dyDescent="0.15">
      <c r="V404" s="2" t="str">
        <f t="shared" si="13"/>
        <v/>
      </c>
      <c r="Y404" s="2" t="str">
        <f t="array" ref="Y404">IF(X404&lt;&gt;"",IFERROR(INDEX($AB$3:$AD$600,MATCH(1,($AB$3:$AB$600=W404)*($AC$3:$AC$600=X404),0),3),"Don’t Exists"),"")</f>
        <v/>
      </c>
      <c r="AA404" s="2" t="str">
        <f t="shared" si="12"/>
        <v/>
      </c>
    </row>
    <row r="405" spans="22:27" x14ac:dyDescent="0.15">
      <c r="V405" s="2" t="str">
        <f t="shared" si="13"/>
        <v/>
      </c>
      <c r="Y405" s="2" t="str">
        <f t="array" ref="Y405">IF(X405&lt;&gt;"",IFERROR(INDEX($AB$3:$AD$600,MATCH(1,($AB$3:$AB$600=W405)*($AC$3:$AC$600=X405),0),3),"Don’t Exists"),"")</f>
        <v/>
      </c>
      <c r="AA405" s="2" t="str">
        <f t="shared" si="12"/>
        <v/>
      </c>
    </row>
    <row r="406" spans="22:27" x14ac:dyDescent="0.15">
      <c r="V406" s="2" t="str">
        <f t="shared" si="13"/>
        <v/>
      </c>
      <c r="Y406" s="2" t="str">
        <f t="array" ref="Y406">IF(X406&lt;&gt;"",IFERROR(INDEX($AB$3:$AD$600,MATCH(1,($AB$3:$AB$600=W406)*($AC$3:$AC$600=X406),0),3),"Don’t Exists"),"")</f>
        <v/>
      </c>
      <c r="AA406" s="2" t="str">
        <f t="shared" si="12"/>
        <v/>
      </c>
    </row>
    <row r="407" spans="22:27" x14ac:dyDescent="0.15">
      <c r="V407" s="2" t="str">
        <f t="shared" si="13"/>
        <v/>
      </c>
      <c r="Y407" s="2" t="str">
        <f t="array" ref="Y407">IF(X407&lt;&gt;"",IFERROR(INDEX($AB$3:$AD$600,MATCH(1,($AB$3:$AB$600=W407)*($AC$3:$AC$600=X407),0),3),"Don’t Exists"),"")</f>
        <v/>
      </c>
      <c r="AA407" s="2" t="str">
        <f t="shared" si="12"/>
        <v/>
      </c>
    </row>
    <row r="408" spans="22:27" x14ac:dyDescent="0.15">
      <c r="V408" s="2" t="str">
        <f t="shared" si="13"/>
        <v/>
      </c>
      <c r="Y408" s="2" t="str">
        <f t="array" ref="Y408">IF(X408&lt;&gt;"",IFERROR(INDEX($AB$3:$AD$600,MATCH(1,($AB$3:$AB$600=W408)*($AC$3:$AC$600=X408),0),3),"Don’t Exists"),"")</f>
        <v/>
      </c>
      <c r="AA408" s="2" t="str">
        <f t="shared" si="12"/>
        <v/>
      </c>
    </row>
    <row r="409" spans="22:27" x14ac:dyDescent="0.15">
      <c r="V409" s="2" t="str">
        <f t="shared" si="13"/>
        <v/>
      </c>
      <c r="Y409" s="2" t="str">
        <f t="array" ref="Y409">IF(X409&lt;&gt;"",IFERROR(INDEX($AB$3:$AD$600,MATCH(1,($AB$3:$AB$600=W409)*($AC$3:$AC$600=X409),0),3),"Don’t Exists"),"")</f>
        <v/>
      </c>
      <c r="AA409" s="2" t="str">
        <f t="shared" si="12"/>
        <v/>
      </c>
    </row>
    <row r="410" spans="22:27" x14ac:dyDescent="0.15">
      <c r="V410" s="2" t="str">
        <f t="shared" si="13"/>
        <v/>
      </c>
      <c r="Y410" s="2" t="str">
        <f t="array" ref="Y410">IF(X410&lt;&gt;"",IFERROR(INDEX($AB$3:$AD$600,MATCH(1,($AB$3:$AB$600=W410)*($AC$3:$AC$600=X410),0),3),"Don’t Exists"),"")</f>
        <v/>
      </c>
      <c r="AA410" s="2" t="str">
        <f t="shared" si="12"/>
        <v/>
      </c>
    </row>
    <row r="411" spans="22:27" x14ac:dyDescent="0.15">
      <c r="V411" s="2" t="str">
        <f t="shared" si="13"/>
        <v/>
      </c>
      <c r="Y411" s="2" t="str">
        <f t="array" ref="Y411">IF(X411&lt;&gt;"",IFERROR(INDEX($AB$3:$AD$600,MATCH(1,($AB$3:$AB$600=W411)*($AC$3:$AC$600=X411),0),3),"Don’t Exists"),"")</f>
        <v/>
      </c>
      <c r="AA411" s="2" t="str">
        <f t="shared" si="12"/>
        <v/>
      </c>
    </row>
    <row r="412" spans="22:27" x14ac:dyDescent="0.15">
      <c r="V412" s="2" t="str">
        <f t="shared" si="13"/>
        <v/>
      </c>
      <c r="Y412" s="2" t="str">
        <f t="array" ref="Y412">IF(X412&lt;&gt;"",IFERROR(INDEX($AB$3:$AD$600,MATCH(1,($AB$3:$AB$600=W412)*($AC$3:$AC$600=X412),0),3),"Don’t Exists"),"")</f>
        <v/>
      </c>
      <c r="AA412" s="2" t="str">
        <f t="shared" si="12"/>
        <v/>
      </c>
    </row>
    <row r="413" spans="22:27" x14ac:dyDescent="0.15">
      <c r="V413" s="2" t="str">
        <f t="shared" si="13"/>
        <v/>
      </c>
      <c r="Y413" s="2" t="str">
        <f t="array" ref="Y413">IF(X413&lt;&gt;"",IFERROR(INDEX($AB$3:$AD$600,MATCH(1,($AB$3:$AB$600=W413)*($AC$3:$AC$600=X413),0),3),"Don’t Exists"),"")</f>
        <v/>
      </c>
      <c r="AA413" s="2" t="str">
        <f t="shared" si="12"/>
        <v/>
      </c>
    </row>
    <row r="414" spans="22:27" x14ac:dyDescent="0.15">
      <c r="V414" s="2" t="str">
        <f t="shared" si="13"/>
        <v/>
      </c>
      <c r="Y414" s="2" t="str">
        <f t="array" ref="Y414">IF(X414&lt;&gt;"",IFERROR(INDEX($AB$3:$AD$600,MATCH(1,($AB$3:$AB$600=W414)*($AC$3:$AC$600=X414),0),3),"Don’t Exists"),"")</f>
        <v/>
      </c>
      <c r="AA414" s="2" t="str">
        <f t="shared" si="12"/>
        <v/>
      </c>
    </row>
    <row r="415" spans="22:27" x14ac:dyDescent="0.15">
      <c r="V415" s="2" t="str">
        <f t="shared" si="13"/>
        <v/>
      </c>
      <c r="Y415" s="2" t="str">
        <f t="array" ref="Y415">IF(X415&lt;&gt;"",IFERROR(INDEX($AB$3:$AD$600,MATCH(1,($AB$3:$AB$600=W415)*($AC$3:$AC$600=X415),0),3),"Don’t Exists"),"")</f>
        <v/>
      </c>
      <c r="AA415" s="2" t="str">
        <f t="shared" si="12"/>
        <v/>
      </c>
    </row>
    <row r="416" spans="22:27" x14ac:dyDescent="0.15">
      <c r="V416" s="2" t="str">
        <f t="shared" si="13"/>
        <v/>
      </c>
      <c r="Y416" s="2" t="str">
        <f t="array" ref="Y416">IF(X416&lt;&gt;"",IFERROR(INDEX($AB$3:$AD$600,MATCH(1,($AB$3:$AB$600=W416)*($AC$3:$AC$600=X416),0),3),"Don’t Exists"),"")</f>
        <v/>
      </c>
      <c r="AA416" s="2" t="str">
        <f t="shared" si="12"/>
        <v/>
      </c>
    </row>
    <row r="417" spans="22:27" x14ac:dyDescent="0.15">
      <c r="V417" s="2" t="str">
        <f t="shared" si="13"/>
        <v/>
      </c>
      <c r="Y417" s="2" t="str">
        <f t="array" ref="Y417">IF(X417&lt;&gt;"",IFERROR(INDEX($AB$3:$AD$600,MATCH(1,($AB$3:$AB$600=W417)*($AC$3:$AC$600=X417),0),3),"Don’t Exists"),"")</f>
        <v/>
      </c>
      <c r="AA417" s="2" t="str">
        <f t="shared" si="12"/>
        <v/>
      </c>
    </row>
    <row r="418" spans="22:27" x14ac:dyDescent="0.15">
      <c r="V418" s="2" t="str">
        <f t="shared" si="13"/>
        <v/>
      </c>
      <c r="Y418" s="2" t="str">
        <f t="array" ref="Y418">IF(X418&lt;&gt;"",IFERROR(INDEX($AB$3:$AD$600,MATCH(1,($AB$3:$AB$600=W418)*($AC$3:$AC$600=X418),0),3),"Don’t Exists"),"")</f>
        <v/>
      </c>
      <c r="AA418" s="2" t="str">
        <f t="shared" si="12"/>
        <v/>
      </c>
    </row>
    <row r="419" spans="22:27" x14ac:dyDescent="0.15">
      <c r="V419" s="2" t="str">
        <f t="shared" si="13"/>
        <v/>
      </c>
      <c r="Y419" s="2" t="str">
        <f t="array" ref="Y419">IF(X419&lt;&gt;"",IFERROR(INDEX($AB$3:$AD$600,MATCH(1,($AB$3:$AB$600=W419)*($AC$3:$AC$600=X419),0),3),"Don’t Exists"),"")</f>
        <v/>
      </c>
      <c r="AA419" s="2" t="str">
        <f t="shared" si="12"/>
        <v/>
      </c>
    </row>
    <row r="420" spans="22:27" x14ac:dyDescent="0.15">
      <c r="V420" s="2" t="str">
        <f t="shared" si="13"/>
        <v/>
      </c>
      <c r="Y420" s="2" t="str">
        <f t="array" ref="Y420">IF(X420&lt;&gt;"",IFERROR(INDEX($AB$3:$AD$600,MATCH(1,($AB$3:$AB$600=W420)*($AC$3:$AC$600=X420),0),3),"Don’t Exists"),"")</f>
        <v/>
      </c>
      <c r="AA420" s="2" t="str">
        <f t="shared" si="12"/>
        <v/>
      </c>
    </row>
    <row r="421" spans="22:27" x14ac:dyDescent="0.15">
      <c r="V421" s="2" t="str">
        <f t="shared" si="13"/>
        <v/>
      </c>
      <c r="Y421" s="2" t="str">
        <f t="array" ref="Y421">IF(X421&lt;&gt;"",IFERROR(INDEX($AB$3:$AD$600,MATCH(1,($AB$3:$AB$600=W421)*($AC$3:$AC$600=X421),0),3),"Don’t Exists"),"")</f>
        <v/>
      </c>
      <c r="AA421" s="2" t="str">
        <f t="shared" si="12"/>
        <v/>
      </c>
    </row>
    <row r="422" spans="22:27" x14ac:dyDescent="0.15">
      <c r="V422" s="2" t="str">
        <f t="shared" si="13"/>
        <v/>
      </c>
      <c r="Y422" s="2" t="str">
        <f t="array" ref="Y422">IF(X422&lt;&gt;"",IFERROR(INDEX($AB$3:$AD$600,MATCH(1,($AB$3:$AB$600=W422)*($AC$3:$AC$600=X422),0),3),"Don’t Exists"),"")</f>
        <v/>
      </c>
      <c r="AA422" s="2" t="str">
        <f t="shared" si="12"/>
        <v/>
      </c>
    </row>
    <row r="423" spans="22:27" x14ac:dyDescent="0.15">
      <c r="V423" s="2" t="str">
        <f t="shared" si="13"/>
        <v/>
      </c>
      <c r="Y423" s="2" t="str">
        <f t="array" ref="Y423">IF(X423&lt;&gt;"",IFERROR(INDEX($AB$3:$AD$600,MATCH(1,($AB$3:$AB$600=W423)*($AC$3:$AC$600=X423),0),3),"Don’t Exists"),"")</f>
        <v/>
      </c>
      <c r="AA423" s="2" t="str">
        <f t="shared" si="12"/>
        <v/>
      </c>
    </row>
    <row r="424" spans="22:27" x14ac:dyDescent="0.15">
      <c r="V424" s="2" t="str">
        <f t="shared" si="13"/>
        <v/>
      </c>
      <c r="Y424" s="2" t="str">
        <f t="array" ref="Y424">IF(X424&lt;&gt;"",IFERROR(INDEX($AB$3:$AD$600,MATCH(1,($AB$3:$AB$600=W424)*($AC$3:$AC$600=X424),0),3),"Don’t Exists"),"")</f>
        <v/>
      </c>
      <c r="AA424" s="2" t="str">
        <f t="shared" si="12"/>
        <v/>
      </c>
    </row>
    <row r="425" spans="22:27" x14ac:dyDescent="0.15">
      <c r="V425" s="2" t="str">
        <f t="shared" si="13"/>
        <v/>
      </c>
      <c r="Y425" s="2" t="str">
        <f t="array" ref="Y425">IF(X425&lt;&gt;"",IFERROR(INDEX($AB$3:$AD$600,MATCH(1,($AB$3:$AB$600=W425)*($AC$3:$AC$600=X425),0),3),"Don’t Exists"),"")</f>
        <v/>
      </c>
      <c r="AA425" s="2" t="str">
        <f t="shared" si="12"/>
        <v/>
      </c>
    </row>
    <row r="426" spans="22:27" x14ac:dyDescent="0.15">
      <c r="V426" s="2" t="str">
        <f t="shared" si="13"/>
        <v/>
      </c>
      <c r="Y426" s="2" t="str">
        <f t="array" ref="Y426">IF(X426&lt;&gt;"",IFERROR(INDEX($AB$3:$AD$600,MATCH(1,($AB$3:$AB$600=W426)*($AC$3:$AC$600=X426),0),3),"Don’t Exists"),"")</f>
        <v/>
      </c>
      <c r="AA426" s="2" t="str">
        <f t="shared" si="12"/>
        <v/>
      </c>
    </row>
    <row r="427" spans="22:27" x14ac:dyDescent="0.15">
      <c r="V427" s="2" t="str">
        <f t="shared" si="13"/>
        <v/>
      </c>
      <c r="Y427" s="2" t="str">
        <f t="array" ref="Y427">IF(X427&lt;&gt;"",IFERROR(INDEX($AB$3:$AD$600,MATCH(1,($AB$3:$AB$600=W427)*($AC$3:$AC$600=X427),0),3),"Don’t Exists"),"")</f>
        <v/>
      </c>
      <c r="AA427" s="2" t="str">
        <f t="shared" si="12"/>
        <v/>
      </c>
    </row>
    <row r="428" spans="22:27" x14ac:dyDescent="0.15">
      <c r="V428" s="2" t="str">
        <f t="shared" si="13"/>
        <v/>
      </c>
      <c r="Y428" s="2" t="str">
        <f t="array" ref="Y428">IF(X428&lt;&gt;"",IFERROR(INDEX($AB$3:$AD$600,MATCH(1,($AB$3:$AB$600=W428)*($AC$3:$AC$600=X428),0),3),"Don’t Exists"),"")</f>
        <v/>
      </c>
      <c r="AA428" s="2" t="str">
        <f t="shared" si="12"/>
        <v/>
      </c>
    </row>
    <row r="429" spans="22:27" x14ac:dyDescent="0.15">
      <c r="V429" s="2" t="str">
        <f t="shared" si="13"/>
        <v/>
      </c>
      <c r="Y429" s="2" t="str">
        <f t="array" ref="Y429">IF(X429&lt;&gt;"",IFERROR(INDEX($AB$3:$AD$600,MATCH(1,($AB$3:$AB$600=W429)*($AC$3:$AC$600=X429),0),3),"Don’t Exists"),"")</f>
        <v/>
      </c>
      <c r="AA429" s="2" t="str">
        <f t="shared" si="12"/>
        <v/>
      </c>
    </row>
    <row r="430" spans="22:27" x14ac:dyDescent="0.15">
      <c r="V430" s="2" t="str">
        <f t="shared" si="13"/>
        <v/>
      </c>
      <c r="Y430" s="2" t="str">
        <f t="array" ref="Y430">IF(X430&lt;&gt;"",IFERROR(INDEX($AB$3:$AD$600,MATCH(1,($AB$3:$AB$600=W430)*($AC$3:$AC$600=X430),0),3),"Don’t Exists"),"")</f>
        <v/>
      </c>
      <c r="AA430" s="2" t="str">
        <f t="shared" si="12"/>
        <v/>
      </c>
    </row>
    <row r="431" spans="22:27" x14ac:dyDescent="0.15">
      <c r="V431" s="2" t="str">
        <f t="shared" si="13"/>
        <v/>
      </c>
      <c r="Y431" s="2" t="str">
        <f t="array" ref="Y431">IF(X431&lt;&gt;"",IFERROR(INDEX($AB$3:$AD$600,MATCH(1,($AB$3:$AB$600=W431)*($AC$3:$AC$600=X431),0),3),"Don’t Exists"),"")</f>
        <v/>
      </c>
      <c r="AA431" s="2" t="str">
        <f t="shared" si="12"/>
        <v/>
      </c>
    </row>
    <row r="432" spans="22:27" x14ac:dyDescent="0.15">
      <c r="V432" s="2" t="str">
        <f t="shared" si="13"/>
        <v/>
      </c>
      <c r="Y432" s="2" t="str">
        <f t="array" ref="Y432">IF(X432&lt;&gt;"",IFERROR(INDEX($AB$3:$AD$600,MATCH(1,($AB$3:$AB$600=W432)*($AC$3:$AC$600=X432),0),3),"Don’t Exists"),"")</f>
        <v/>
      </c>
      <c r="AA432" s="2" t="str">
        <f t="shared" si="12"/>
        <v/>
      </c>
    </row>
    <row r="433" spans="22:27" x14ac:dyDescent="0.15">
      <c r="V433" s="2" t="str">
        <f t="shared" si="13"/>
        <v/>
      </c>
      <c r="Y433" s="2" t="str">
        <f t="array" ref="Y433">IF(X433&lt;&gt;"",IFERROR(INDEX($AB$3:$AD$600,MATCH(1,($AB$3:$AB$600=W433)*($AC$3:$AC$600=X433),0),3),"Don’t Exists"),"")</f>
        <v/>
      </c>
      <c r="AA433" s="2" t="str">
        <f t="shared" si="12"/>
        <v/>
      </c>
    </row>
    <row r="434" spans="22:27" x14ac:dyDescent="0.15">
      <c r="V434" s="2" t="str">
        <f t="shared" si="13"/>
        <v/>
      </c>
      <c r="Y434" s="2" t="str">
        <f t="array" ref="Y434">IF(X434&lt;&gt;"",IFERROR(INDEX($AB$3:$AD$600,MATCH(1,($AB$3:$AB$600=W434)*($AC$3:$AC$600=X434),0),3),"Don’t Exists"),"")</f>
        <v/>
      </c>
      <c r="AA434" s="2" t="str">
        <f t="shared" si="12"/>
        <v/>
      </c>
    </row>
    <row r="435" spans="22:27" x14ac:dyDescent="0.15">
      <c r="V435" s="2" t="str">
        <f t="shared" si="13"/>
        <v/>
      </c>
      <c r="Y435" s="2" t="str">
        <f t="array" ref="Y435">IF(X435&lt;&gt;"",IFERROR(INDEX($AB$3:$AD$600,MATCH(1,($AB$3:$AB$600=W435)*($AC$3:$AC$600=X435),0),3),"Don’t Exists"),"")</f>
        <v/>
      </c>
      <c r="AA435" s="2" t="str">
        <f t="shared" si="12"/>
        <v/>
      </c>
    </row>
    <row r="436" spans="22:27" x14ac:dyDescent="0.15">
      <c r="V436" s="2" t="str">
        <f t="shared" si="13"/>
        <v/>
      </c>
      <c r="Y436" s="2" t="str">
        <f t="array" ref="Y436">IF(X436&lt;&gt;"",IFERROR(INDEX($AB$3:$AD$600,MATCH(1,($AB$3:$AB$600=W436)*($AC$3:$AC$600=X436),0),3),"Don’t Exists"),"")</f>
        <v/>
      </c>
      <c r="AA436" s="2" t="str">
        <f t="shared" si="12"/>
        <v/>
      </c>
    </row>
    <row r="437" spans="22:27" x14ac:dyDescent="0.15">
      <c r="V437" s="2" t="str">
        <f t="shared" si="13"/>
        <v/>
      </c>
      <c r="Y437" s="2" t="str">
        <f t="array" ref="Y437">IF(X437&lt;&gt;"",IFERROR(INDEX($AB$3:$AD$600,MATCH(1,($AB$3:$AB$600=W437)*($AC$3:$AC$600=X437),0),3),"Don’t Exists"),"")</f>
        <v/>
      </c>
      <c r="AA437" s="2" t="str">
        <f t="shared" si="12"/>
        <v/>
      </c>
    </row>
    <row r="438" spans="22:27" x14ac:dyDescent="0.15">
      <c r="V438" s="2" t="str">
        <f t="shared" si="13"/>
        <v/>
      </c>
      <c r="Y438" s="2" t="str">
        <f t="array" ref="Y438">IF(X438&lt;&gt;"",IFERROR(INDEX($AB$3:$AD$600,MATCH(1,($AB$3:$AB$600=W438)*($AC$3:$AC$600=X438),0),3),"Don’t Exists"),"")</f>
        <v/>
      </c>
      <c r="AA438" s="2" t="str">
        <f t="shared" si="12"/>
        <v/>
      </c>
    </row>
    <row r="439" spans="22:27" x14ac:dyDescent="0.15">
      <c r="V439" s="2" t="str">
        <f t="shared" si="13"/>
        <v/>
      </c>
      <c r="Y439" s="2" t="str">
        <f t="array" ref="Y439">IF(X439&lt;&gt;"",IFERROR(INDEX($AB$3:$AD$600,MATCH(1,($AB$3:$AB$600=W439)*($AC$3:$AC$600=X439),0),3),"Don’t Exists"),"")</f>
        <v/>
      </c>
      <c r="AA439" s="2" t="str">
        <f t="shared" si="12"/>
        <v/>
      </c>
    </row>
    <row r="440" spans="22:27" x14ac:dyDescent="0.15">
      <c r="V440" s="2" t="str">
        <f t="shared" si="13"/>
        <v/>
      </c>
      <c r="Y440" s="2" t="str">
        <f t="array" ref="Y440">IF(X440&lt;&gt;"",IFERROR(INDEX($AB$3:$AD$600,MATCH(1,($AB$3:$AB$600=W440)*($AC$3:$AC$600=X440),0),3),"Don’t Exists"),"")</f>
        <v/>
      </c>
      <c r="AA440" s="2" t="str">
        <f t="shared" si="12"/>
        <v/>
      </c>
    </row>
    <row r="441" spans="22:27" x14ac:dyDescent="0.15">
      <c r="V441" s="2" t="str">
        <f t="shared" si="13"/>
        <v/>
      </c>
      <c r="Y441" s="2" t="str">
        <f t="array" ref="Y441">IF(X441&lt;&gt;"",IFERROR(INDEX($AB$3:$AD$600,MATCH(1,($AB$3:$AB$600=W441)*($AC$3:$AC$600=X441),0),3),"Don’t Exists"),"")</f>
        <v/>
      </c>
      <c r="AA441" s="2" t="str">
        <f t="shared" si="12"/>
        <v/>
      </c>
    </row>
    <row r="442" spans="22:27" x14ac:dyDescent="0.15">
      <c r="V442" s="2" t="str">
        <f t="shared" si="13"/>
        <v/>
      </c>
      <c r="Y442" s="2" t="str">
        <f t="array" ref="Y442">IF(X442&lt;&gt;"",IFERROR(INDEX($AB$3:$AD$600,MATCH(1,($AB$3:$AB$600=W442)*($AC$3:$AC$600=X442),0),3),"Don’t Exists"),"")</f>
        <v/>
      </c>
      <c r="AA442" s="2" t="str">
        <f t="shared" si="12"/>
        <v/>
      </c>
    </row>
    <row r="443" spans="22:27" x14ac:dyDescent="0.15">
      <c r="V443" s="2" t="str">
        <f t="shared" si="13"/>
        <v/>
      </c>
      <c r="Y443" s="2" t="str">
        <f t="array" ref="Y443">IF(X443&lt;&gt;"",IFERROR(INDEX($AB$3:$AD$600,MATCH(1,($AB$3:$AB$600=W443)*($AC$3:$AC$600=X443),0),3),"Don’t Exists"),"")</f>
        <v/>
      </c>
      <c r="AA443" s="2" t="str">
        <f t="shared" si="12"/>
        <v/>
      </c>
    </row>
    <row r="444" spans="22:27" x14ac:dyDescent="0.15">
      <c r="V444" s="2" t="str">
        <f t="shared" si="13"/>
        <v/>
      </c>
      <c r="Y444" s="2" t="str">
        <f t="array" ref="Y444">IF(X444&lt;&gt;"",IFERROR(INDEX($AB$3:$AD$600,MATCH(1,($AB$3:$AB$600=W444)*($AC$3:$AC$600=X444),0),3),"Don’t Exists"),"")</f>
        <v/>
      </c>
      <c r="AA444" s="2" t="str">
        <f t="shared" si="12"/>
        <v/>
      </c>
    </row>
    <row r="445" spans="22:27" x14ac:dyDescent="0.15">
      <c r="V445" s="2" t="str">
        <f t="shared" si="13"/>
        <v/>
      </c>
      <c r="Y445" s="2" t="str">
        <f t="array" ref="Y445">IF(X445&lt;&gt;"",IFERROR(INDEX($AB$3:$AD$600,MATCH(1,($AB$3:$AB$600=W445)*($AC$3:$AC$600=X445),0),3),"Don’t Exists"),"")</f>
        <v/>
      </c>
      <c r="AA445" s="2" t="str">
        <f t="shared" si="12"/>
        <v/>
      </c>
    </row>
    <row r="446" spans="22:27" x14ac:dyDescent="0.15">
      <c r="V446" s="2" t="str">
        <f t="shared" si="13"/>
        <v/>
      </c>
      <c r="Y446" s="2" t="str">
        <f t="array" ref="Y446">IF(X446&lt;&gt;"",IFERROR(INDEX($AB$3:$AD$600,MATCH(1,($AB$3:$AB$600=W446)*($AC$3:$AC$600=X446),0),3),"Don’t Exists"),"")</f>
        <v/>
      </c>
      <c r="AA446" s="2" t="str">
        <f t="shared" si="12"/>
        <v/>
      </c>
    </row>
    <row r="447" spans="22:27" x14ac:dyDescent="0.15">
      <c r="V447" s="2" t="str">
        <f t="shared" si="13"/>
        <v/>
      </c>
      <c r="Y447" s="2" t="str">
        <f t="array" ref="Y447">IF(X447&lt;&gt;"",IFERROR(INDEX($AB$3:$AD$600,MATCH(1,($AB$3:$AB$600=W447)*($AC$3:$AC$600=X447),0),3),"Don’t Exists"),"")</f>
        <v/>
      </c>
      <c r="AA447" s="2" t="str">
        <f t="shared" si="12"/>
        <v/>
      </c>
    </row>
    <row r="448" spans="22:27" x14ac:dyDescent="0.15">
      <c r="V448" s="2" t="str">
        <f t="shared" si="13"/>
        <v/>
      </c>
      <c r="Y448" s="2" t="str">
        <f t="array" ref="Y448">IF(X448&lt;&gt;"",IFERROR(INDEX($AB$3:$AD$600,MATCH(1,($AB$3:$AB$600=W448)*($AC$3:$AC$600=X448),0),3),"Don’t Exists"),"")</f>
        <v/>
      </c>
      <c r="AA448" s="2" t="str">
        <f t="shared" si="12"/>
        <v/>
      </c>
    </row>
    <row r="449" spans="22:27" x14ac:dyDescent="0.15">
      <c r="V449" s="2" t="str">
        <f t="shared" si="13"/>
        <v/>
      </c>
      <c r="Y449" s="2" t="str">
        <f t="array" ref="Y449">IF(X449&lt;&gt;"",IFERROR(INDEX($AB$3:$AD$600,MATCH(1,($AB$3:$AB$600=W449)*($AC$3:$AC$600=X449),0),3),"Don’t Exists"),"")</f>
        <v/>
      </c>
      <c r="AA449" s="2" t="str">
        <f t="shared" si="12"/>
        <v/>
      </c>
    </row>
    <row r="450" spans="22:27" x14ac:dyDescent="0.15">
      <c r="V450" s="2" t="str">
        <f t="shared" si="13"/>
        <v/>
      </c>
      <c r="Y450" s="2" t="str">
        <f t="array" ref="Y450">IF(X450&lt;&gt;"",IFERROR(INDEX($AB$3:$AD$600,MATCH(1,($AB$3:$AB$600=W450)*($AC$3:$AC$600=X450),0),3),"Don’t Exists"),"")</f>
        <v/>
      </c>
      <c r="AA450" s="2" t="str">
        <f t="shared" si="12"/>
        <v/>
      </c>
    </row>
    <row r="451" spans="22:27" x14ac:dyDescent="0.15">
      <c r="V451" s="2" t="str">
        <f t="shared" si="13"/>
        <v/>
      </c>
      <c r="Y451" s="2" t="str">
        <f t="array" ref="Y451">IF(X451&lt;&gt;"",IFERROR(INDEX($AB$3:$AD$600,MATCH(1,($AB$3:$AB$600=W451)*($AC$3:$AC$600=X451),0),3),"Don’t Exists"),"")</f>
        <v/>
      </c>
      <c r="AA451" s="2" t="str">
        <f t="shared" si="12"/>
        <v/>
      </c>
    </row>
    <row r="452" spans="22:27" x14ac:dyDescent="0.15">
      <c r="V452" s="2" t="str">
        <f t="shared" si="13"/>
        <v/>
      </c>
      <c r="Y452" s="2" t="str">
        <f t="array" ref="Y452">IF(X452&lt;&gt;"",IFERROR(INDEX($AB$3:$AD$600,MATCH(1,($AB$3:$AB$600=W452)*($AC$3:$AC$600=X452),0),3),"Don’t Exists"),"")</f>
        <v/>
      </c>
      <c r="AA452" s="2" t="str">
        <f t="shared" ref="AA452:AA515" si="14">IF(AC452&lt;&gt;"",ROW()-2,"")</f>
        <v/>
      </c>
    </row>
    <row r="453" spans="22:27" x14ac:dyDescent="0.15">
      <c r="V453" s="2" t="str">
        <f t="shared" si="13"/>
        <v/>
      </c>
      <c r="Y453" s="2" t="str">
        <f t="array" ref="Y453">IF(X453&lt;&gt;"",IFERROR(INDEX($AB$3:$AD$600,MATCH(1,($AB$3:$AB$600=W453)*($AC$3:$AC$600=X453),0),3),"Don’t Exists"),"")</f>
        <v/>
      </c>
      <c r="AA453" s="2" t="str">
        <f t="shared" si="14"/>
        <v/>
      </c>
    </row>
    <row r="454" spans="22:27" x14ac:dyDescent="0.15">
      <c r="V454" s="2" t="str">
        <f t="shared" si="13"/>
        <v/>
      </c>
      <c r="Y454" s="2" t="str">
        <f t="array" ref="Y454">IF(X454&lt;&gt;"",IFERROR(INDEX($AB$3:$AD$600,MATCH(1,($AB$3:$AB$600=W454)*($AC$3:$AC$600=X454),0),3),"Don’t Exists"),"")</f>
        <v/>
      </c>
      <c r="AA454" s="2" t="str">
        <f t="shared" si="14"/>
        <v/>
      </c>
    </row>
    <row r="455" spans="22:27" x14ac:dyDescent="0.15">
      <c r="V455" s="2" t="str">
        <f t="shared" si="13"/>
        <v/>
      </c>
      <c r="Y455" s="2" t="str">
        <f t="array" ref="Y455">IF(X455&lt;&gt;"",IFERROR(INDEX($AB$3:$AD$600,MATCH(1,($AB$3:$AB$600=W455)*($AC$3:$AC$600=X455),0),3),"Don’t Exists"),"")</f>
        <v/>
      </c>
      <c r="AA455" s="2" t="str">
        <f t="shared" si="14"/>
        <v/>
      </c>
    </row>
    <row r="456" spans="22:27" x14ac:dyDescent="0.15">
      <c r="V456" s="2" t="str">
        <f t="shared" si="13"/>
        <v/>
      </c>
      <c r="Y456" s="2" t="str">
        <f t="array" ref="Y456">IF(X456&lt;&gt;"",IFERROR(INDEX($AB$3:$AD$600,MATCH(1,($AB$3:$AB$600=W456)*($AC$3:$AC$600=X456),0),3),"Don’t Exists"),"")</f>
        <v/>
      </c>
      <c r="AA456" s="2" t="str">
        <f t="shared" si="14"/>
        <v/>
      </c>
    </row>
    <row r="457" spans="22:27" x14ac:dyDescent="0.15">
      <c r="V457" s="2" t="str">
        <f t="shared" si="13"/>
        <v/>
      </c>
      <c r="Y457" s="2" t="str">
        <f t="array" ref="Y457">IF(X457&lt;&gt;"",IFERROR(INDEX($AB$3:$AD$600,MATCH(1,($AB$3:$AB$600=W457)*($AC$3:$AC$600=X457),0),3),"Don’t Exists"),"")</f>
        <v/>
      </c>
      <c r="AA457" s="2" t="str">
        <f t="shared" si="14"/>
        <v/>
      </c>
    </row>
    <row r="458" spans="22:27" x14ac:dyDescent="0.15">
      <c r="V458" s="2" t="str">
        <f t="shared" si="13"/>
        <v/>
      </c>
      <c r="Y458" s="2" t="str">
        <f t="array" ref="Y458">IF(X458&lt;&gt;"",IFERROR(INDEX($AB$3:$AD$600,MATCH(1,($AB$3:$AB$600=W458)*($AC$3:$AC$600=X458),0),3),"Don’t Exists"),"")</f>
        <v/>
      </c>
      <c r="AA458" s="2" t="str">
        <f t="shared" si="14"/>
        <v/>
      </c>
    </row>
    <row r="459" spans="22:27" x14ac:dyDescent="0.15">
      <c r="V459" s="2" t="str">
        <f t="shared" si="13"/>
        <v/>
      </c>
      <c r="Y459" s="2" t="str">
        <f t="array" ref="Y459">IF(X459&lt;&gt;"",IFERROR(INDEX($AB$3:$AD$600,MATCH(1,($AB$3:$AB$600=W459)*($AC$3:$AC$600=X459),0),3),"Don’t Exists"),"")</f>
        <v/>
      </c>
      <c r="AA459" s="2" t="str">
        <f t="shared" si="14"/>
        <v/>
      </c>
    </row>
    <row r="460" spans="22:27" x14ac:dyDescent="0.15">
      <c r="V460" s="2" t="str">
        <f t="shared" si="13"/>
        <v/>
      </c>
      <c r="Y460" s="2" t="str">
        <f t="array" ref="Y460">IF(X460&lt;&gt;"",IFERROR(INDEX($AB$3:$AD$600,MATCH(1,($AB$3:$AB$600=W460)*($AC$3:$AC$600=X460),0),3),"Don’t Exists"),"")</f>
        <v/>
      </c>
      <c r="AA460" s="2" t="str">
        <f t="shared" si="14"/>
        <v/>
      </c>
    </row>
    <row r="461" spans="22:27" x14ac:dyDescent="0.15">
      <c r="V461" s="2" t="str">
        <f t="shared" ref="V461:V524" si="15">IF(X461&lt;&gt;"",ROW()-ROW(V$11),"")</f>
        <v/>
      </c>
      <c r="Y461" s="2" t="str">
        <f t="array" ref="Y461">IF(X461&lt;&gt;"",IFERROR(INDEX($AB$3:$AD$600,MATCH(1,($AB$3:$AB$600=W461)*($AC$3:$AC$600=X461),0),3),"Don’t Exists"),"")</f>
        <v/>
      </c>
      <c r="AA461" s="2" t="str">
        <f t="shared" si="14"/>
        <v/>
      </c>
    </row>
    <row r="462" spans="22:27" x14ac:dyDescent="0.15">
      <c r="V462" s="2" t="str">
        <f t="shared" si="15"/>
        <v/>
      </c>
      <c r="Y462" s="2" t="str">
        <f t="array" ref="Y462">IF(X462&lt;&gt;"",IFERROR(INDEX($AB$3:$AD$600,MATCH(1,($AB$3:$AB$600=W462)*($AC$3:$AC$600=X462),0),3),"Don’t Exists"),"")</f>
        <v/>
      </c>
      <c r="AA462" s="2" t="str">
        <f t="shared" si="14"/>
        <v/>
      </c>
    </row>
    <row r="463" spans="22:27" x14ac:dyDescent="0.15">
      <c r="V463" s="2" t="str">
        <f t="shared" si="15"/>
        <v/>
      </c>
      <c r="Y463" s="2" t="str">
        <f t="array" ref="Y463">IF(X463&lt;&gt;"",IFERROR(INDEX($AB$3:$AD$600,MATCH(1,($AB$3:$AB$600=W463)*($AC$3:$AC$600=X463),0),3),"Don’t Exists"),"")</f>
        <v/>
      </c>
      <c r="AA463" s="2" t="str">
        <f t="shared" si="14"/>
        <v/>
      </c>
    </row>
    <row r="464" spans="22:27" x14ac:dyDescent="0.15">
      <c r="V464" s="2" t="str">
        <f t="shared" si="15"/>
        <v/>
      </c>
      <c r="Y464" s="2" t="str">
        <f t="array" ref="Y464">IF(X464&lt;&gt;"",IFERROR(INDEX($AB$3:$AD$600,MATCH(1,($AB$3:$AB$600=W464)*($AC$3:$AC$600=X464),0),3),"Don’t Exists"),"")</f>
        <v/>
      </c>
      <c r="AA464" s="2" t="str">
        <f t="shared" si="14"/>
        <v/>
      </c>
    </row>
    <row r="465" spans="22:27" x14ac:dyDescent="0.15">
      <c r="V465" s="2" t="str">
        <f t="shared" si="15"/>
        <v/>
      </c>
      <c r="Y465" s="2" t="str">
        <f t="array" ref="Y465">IF(X465&lt;&gt;"",IFERROR(INDEX($AB$3:$AD$600,MATCH(1,($AB$3:$AB$600=W465)*($AC$3:$AC$600=X465),0),3),"Don’t Exists"),"")</f>
        <v/>
      </c>
      <c r="AA465" s="2" t="str">
        <f t="shared" si="14"/>
        <v/>
      </c>
    </row>
    <row r="466" spans="22:27" x14ac:dyDescent="0.15">
      <c r="V466" s="2" t="str">
        <f t="shared" si="15"/>
        <v/>
      </c>
      <c r="Y466" s="2" t="str">
        <f t="array" ref="Y466">IF(X466&lt;&gt;"",IFERROR(INDEX($AB$3:$AD$600,MATCH(1,($AB$3:$AB$600=W466)*($AC$3:$AC$600=X466),0),3),"Don’t Exists"),"")</f>
        <v/>
      </c>
      <c r="AA466" s="2" t="str">
        <f t="shared" si="14"/>
        <v/>
      </c>
    </row>
    <row r="467" spans="22:27" x14ac:dyDescent="0.15">
      <c r="V467" s="2" t="str">
        <f t="shared" si="15"/>
        <v/>
      </c>
      <c r="Y467" s="2" t="str">
        <f t="array" ref="Y467">IF(X467&lt;&gt;"",IFERROR(INDEX($AB$3:$AD$600,MATCH(1,($AB$3:$AB$600=W467)*($AC$3:$AC$600=X467),0),3),"Don’t Exists"),"")</f>
        <v/>
      </c>
      <c r="AA467" s="2" t="str">
        <f t="shared" si="14"/>
        <v/>
      </c>
    </row>
    <row r="468" spans="22:27" x14ac:dyDescent="0.15">
      <c r="V468" s="2" t="str">
        <f t="shared" si="15"/>
        <v/>
      </c>
      <c r="Y468" s="2" t="str">
        <f t="array" ref="Y468">IF(X468&lt;&gt;"",IFERROR(INDEX($AB$3:$AD$600,MATCH(1,($AB$3:$AB$600=W468)*($AC$3:$AC$600=X468),0),3),"Don’t Exists"),"")</f>
        <v/>
      </c>
      <c r="AA468" s="2" t="str">
        <f t="shared" si="14"/>
        <v/>
      </c>
    </row>
    <row r="469" spans="22:27" x14ac:dyDescent="0.15">
      <c r="V469" s="2" t="str">
        <f t="shared" si="15"/>
        <v/>
      </c>
      <c r="Y469" s="2" t="str">
        <f t="array" ref="Y469">IF(X469&lt;&gt;"",IFERROR(INDEX($AB$3:$AD$600,MATCH(1,($AB$3:$AB$600=W469)*($AC$3:$AC$600=X469),0),3),"Don’t Exists"),"")</f>
        <v/>
      </c>
      <c r="AA469" s="2" t="str">
        <f t="shared" si="14"/>
        <v/>
      </c>
    </row>
    <row r="470" spans="22:27" x14ac:dyDescent="0.15">
      <c r="V470" s="2" t="str">
        <f t="shared" si="15"/>
        <v/>
      </c>
      <c r="Y470" s="2" t="str">
        <f t="array" ref="Y470">IF(X470&lt;&gt;"",IFERROR(INDEX($AB$3:$AD$600,MATCH(1,($AB$3:$AB$600=W470)*($AC$3:$AC$600=X470),0),3),"Don’t Exists"),"")</f>
        <v/>
      </c>
      <c r="AA470" s="2" t="str">
        <f t="shared" si="14"/>
        <v/>
      </c>
    </row>
    <row r="471" spans="22:27" x14ac:dyDescent="0.15">
      <c r="V471" s="2" t="str">
        <f t="shared" si="15"/>
        <v/>
      </c>
      <c r="Y471" s="2" t="str">
        <f t="array" ref="Y471">IF(X471&lt;&gt;"",IFERROR(INDEX($AB$3:$AD$600,MATCH(1,($AB$3:$AB$600=W471)*($AC$3:$AC$600=X471),0),3),"Don’t Exists"),"")</f>
        <v/>
      </c>
      <c r="AA471" s="2" t="str">
        <f t="shared" si="14"/>
        <v/>
      </c>
    </row>
    <row r="472" spans="22:27" x14ac:dyDescent="0.15">
      <c r="V472" s="2" t="str">
        <f t="shared" si="15"/>
        <v/>
      </c>
      <c r="Y472" s="2" t="str">
        <f t="array" ref="Y472">IF(X472&lt;&gt;"",IFERROR(INDEX($AB$3:$AD$600,MATCH(1,($AB$3:$AB$600=W472)*($AC$3:$AC$600=X472),0),3),"Don’t Exists"),"")</f>
        <v/>
      </c>
      <c r="AA472" s="2" t="str">
        <f t="shared" si="14"/>
        <v/>
      </c>
    </row>
    <row r="473" spans="22:27" x14ac:dyDescent="0.15">
      <c r="V473" s="2" t="str">
        <f t="shared" si="15"/>
        <v/>
      </c>
      <c r="Y473" s="2" t="str">
        <f t="array" ref="Y473">IF(X473&lt;&gt;"",IFERROR(INDEX($AB$3:$AD$600,MATCH(1,($AB$3:$AB$600=W473)*($AC$3:$AC$600=X473),0),3),"Don’t Exists"),"")</f>
        <v/>
      </c>
      <c r="AA473" s="2" t="str">
        <f t="shared" si="14"/>
        <v/>
      </c>
    </row>
    <row r="474" spans="22:27" x14ac:dyDescent="0.15">
      <c r="V474" s="2" t="str">
        <f t="shared" si="15"/>
        <v/>
      </c>
      <c r="Y474" s="2" t="str">
        <f t="array" ref="Y474">IF(X474&lt;&gt;"",IFERROR(INDEX($AB$3:$AD$600,MATCH(1,($AB$3:$AB$600=W474)*($AC$3:$AC$600=X474),0),3),"Don’t Exists"),"")</f>
        <v/>
      </c>
      <c r="AA474" s="2" t="str">
        <f t="shared" si="14"/>
        <v/>
      </c>
    </row>
    <row r="475" spans="22:27" x14ac:dyDescent="0.15">
      <c r="V475" s="2" t="str">
        <f t="shared" si="15"/>
        <v/>
      </c>
      <c r="Y475" s="2" t="str">
        <f t="array" ref="Y475">IF(X475&lt;&gt;"",IFERROR(INDEX($AB$3:$AD$600,MATCH(1,($AB$3:$AB$600=W475)*($AC$3:$AC$600=X475),0),3),"Don’t Exists"),"")</f>
        <v/>
      </c>
      <c r="AA475" s="2" t="str">
        <f t="shared" si="14"/>
        <v/>
      </c>
    </row>
    <row r="476" spans="22:27" x14ac:dyDescent="0.15">
      <c r="V476" s="2" t="str">
        <f t="shared" si="15"/>
        <v/>
      </c>
      <c r="Y476" s="2" t="str">
        <f t="array" ref="Y476">IF(X476&lt;&gt;"",IFERROR(INDEX($AB$3:$AD$600,MATCH(1,($AB$3:$AB$600=W476)*($AC$3:$AC$600=X476),0),3),"Don’t Exists"),"")</f>
        <v/>
      </c>
      <c r="AA476" s="2" t="str">
        <f t="shared" si="14"/>
        <v/>
      </c>
    </row>
    <row r="477" spans="22:27" x14ac:dyDescent="0.15">
      <c r="V477" s="2" t="str">
        <f t="shared" si="15"/>
        <v/>
      </c>
      <c r="Y477" s="2" t="str">
        <f t="array" ref="Y477">IF(X477&lt;&gt;"",IFERROR(INDEX($AB$3:$AD$600,MATCH(1,($AB$3:$AB$600=W477)*($AC$3:$AC$600=X477),0),3),"Don’t Exists"),"")</f>
        <v/>
      </c>
      <c r="AA477" s="2" t="str">
        <f t="shared" si="14"/>
        <v/>
      </c>
    </row>
    <row r="478" spans="22:27" x14ac:dyDescent="0.15">
      <c r="V478" s="2" t="str">
        <f t="shared" si="15"/>
        <v/>
      </c>
      <c r="Y478" s="2" t="str">
        <f t="array" ref="Y478">IF(X478&lt;&gt;"",IFERROR(INDEX($AB$3:$AD$600,MATCH(1,($AB$3:$AB$600=W478)*($AC$3:$AC$600=X478),0),3),"Don’t Exists"),"")</f>
        <v/>
      </c>
      <c r="AA478" s="2" t="str">
        <f t="shared" si="14"/>
        <v/>
      </c>
    </row>
    <row r="479" spans="22:27" x14ac:dyDescent="0.15">
      <c r="V479" s="2" t="str">
        <f t="shared" si="15"/>
        <v/>
      </c>
      <c r="Y479" s="2" t="str">
        <f t="array" ref="Y479">IF(X479&lt;&gt;"",IFERROR(INDEX($AB$3:$AD$600,MATCH(1,($AB$3:$AB$600=W479)*($AC$3:$AC$600=X479),0),3),"Don’t Exists"),"")</f>
        <v/>
      </c>
      <c r="AA479" s="2" t="str">
        <f t="shared" si="14"/>
        <v/>
      </c>
    </row>
    <row r="480" spans="22:27" x14ac:dyDescent="0.15">
      <c r="V480" s="2" t="str">
        <f t="shared" si="15"/>
        <v/>
      </c>
      <c r="Y480" s="2" t="str">
        <f t="array" ref="Y480">IF(X480&lt;&gt;"",IFERROR(INDEX($AB$3:$AD$600,MATCH(1,($AB$3:$AB$600=W480)*($AC$3:$AC$600=X480),0),3),"Don’t Exists"),"")</f>
        <v/>
      </c>
      <c r="AA480" s="2" t="str">
        <f t="shared" si="14"/>
        <v/>
      </c>
    </row>
    <row r="481" spans="22:27" x14ac:dyDescent="0.15">
      <c r="V481" s="2" t="str">
        <f t="shared" si="15"/>
        <v/>
      </c>
      <c r="Y481" s="2" t="str">
        <f t="array" ref="Y481">IF(X481&lt;&gt;"",IFERROR(INDEX($AB$3:$AD$600,MATCH(1,($AB$3:$AB$600=W481)*($AC$3:$AC$600=X481),0),3),"Don’t Exists"),"")</f>
        <v/>
      </c>
      <c r="AA481" s="2" t="str">
        <f t="shared" si="14"/>
        <v/>
      </c>
    </row>
    <row r="482" spans="22:27" x14ac:dyDescent="0.15">
      <c r="V482" s="2" t="str">
        <f t="shared" si="15"/>
        <v/>
      </c>
      <c r="Y482" s="2" t="str">
        <f t="array" ref="Y482">IF(X482&lt;&gt;"",IFERROR(INDEX($AB$3:$AD$600,MATCH(1,($AB$3:$AB$600=W482)*($AC$3:$AC$600=X482),0),3),"Don’t Exists"),"")</f>
        <v/>
      </c>
      <c r="AA482" s="2" t="str">
        <f t="shared" si="14"/>
        <v/>
      </c>
    </row>
    <row r="483" spans="22:27" x14ac:dyDescent="0.15">
      <c r="V483" s="2" t="str">
        <f t="shared" si="15"/>
        <v/>
      </c>
      <c r="Y483" s="2" t="str">
        <f t="array" ref="Y483">IF(X483&lt;&gt;"",IFERROR(INDEX($AB$3:$AD$600,MATCH(1,($AB$3:$AB$600=W483)*($AC$3:$AC$600=X483),0),3),"Don’t Exists"),"")</f>
        <v/>
      </c>
      <c r="AA483" s="2" t="str">
        <f t="shared" si="14"/>
        <v/>
      </c>
    </row>
    <row r="484" spans="22:27" x14ac:dyDescent="0.15">
      <c r="V484" s="2" t="str">
        <f t="shared" si="15"/>
        <v/>
      </c>
      <c r="Y484" s="2" t="str">
        <f t="array" ref="Y484">IF(X484&lt;&gt;"",IFERROR(INDEX($AB$3:$AD$600,MATCH(1,($AB$3:$AB$600=W484)*($AC$3:$AC$600=X484),0),3),"Don’t Exists"),"")</f>
        <v/>
      </c>
      <c r="AA484" s="2" t="str">
        <f t="shared" si="14"/>
        <v/>
      </c>
    </row>
    <row r="485" spans="22:27" x14ac:dyDescent="0.15">
      <c r="V485" s="2" t="str">
        <f t="shared" si="15"/>
        <v/>
      </c>
      <c r="Y485" s="2" t="str">
        <f t="array" ref="Y485">IF(X485&lt;&gt;"",IFERROR(INDEX($AB$3:$AD$600,MATCH(1,($AB$3:$AB$600=W485)*($AC$3:$AC$600=X485),0),3),"Don’t Exists"),"")</f>
        <v/>
      </c>
      <c r="AA485" s="2" t="str">
        <f t="shared" si="14"/>
        <v/>
      </c>
    </row>
    <row r="486" spans="22:27" x14ac:dyDescent="0.15">
      <c r="V486" s="2" t="str">
        <f t="shared" si="15"/>
        <v/>
      </c>
      <c r="Y486" s="2" t="str">
        <f t="array" ref="Y486">IF(X486&lt;&gt;"",IFERROR(INDEX($AB$3:$AD$600,MATCH(1,($AB$3:$AB$600=W486)*($AC$3:$AC$600=X486),0),3),"Don’t Exists"),"")</f>
        <v/>
      </c>
      <c r="AA486" s="2" t="str">
        <f t="shared" si="14"/>
        <v/>
      </c>
    </row>
    <row r="487" spans="22:27" x14ac:dyDescent="0.15">
      <c r="V487" s="2" t="str">
        <f t="shared" si="15"/>
        <v/>
      </c>
      <c r="Y487" s="2" t="str">
        <f t="array" ref="Y487">IF(X487&lt;&gt;"",IFERROR(INDEX($AB$3:$AD$600,MATCH(1,($AB$3:$AB$600=W487)*($AC$3:$AC$600=X487),0),3),"Don’t Exists"),"")</f>
        <v/>
      </c>
      <c r="AA487" s="2" t="str">
        <f t="shared" si="14"/>
        <v/>
      </c>
    </row>
    <row r="488" spans="22:27" x14ac:dyDescent="0.15">
      <c r="V488" s="2" t="str">
        <f t="shared" si="15"/>
        <v/>
      </c>
      <c r="Y488" s="2" t="str">
        <f t="array" ref="Y488">IF(X488&lt;&gt;"",IFERROR(INDEX($AB$3:$AD$600,MATCH(1,($AB$3:$AB$600=W488)*($AC$3:$AC$600=X488),0),3),"Don’t Exists"),"")</f>
        <v/>
      </c>
      <c r="AA488" s="2" t="str">
        <f t="shared" si="14"/>
        <v/>
      </c>
    </row>
    <row r="489" spans="22:27" x14ac:dyDescent="0.15">
      <c r="V489" s="2" t="str">
        <f t="shared" si="15"/>
        <v/>
      </c>
      <c r="Y489" s="2" t="str">
        <f t="array" ref="Y489">IF(X489&lt;&gt;"",IFERROR(INDEX($AB$3:$AD$600,MATCH(1,($AB$3:$AB$600=W489)*($AC$3:$AC$600=X489),0),3),"Don’t Exists"),"")</f>
        <v/>
      </c>
      <c r="AA489" s="2" t="str">
        <f t="shared" si="14"/>
        <v/>
      </c>
    </row>
    <row r="490" spans="22:27" x14ac:dyDescent="0.15">
      <c r="V490" s="2" t="str">
        <f t="shared" si="15"/>
        <v/>
      </c>
      <c r="Y490" s="2" t="str">
        <f t="array" ref="Y490">IF(X490&lt;&gt;"",IFERROR(INDEX($AB$3:$AD$600,MATCH(1,($AB$3:$AB$600=W490)*($AC$3:$AC$600=X490),0),3),"Don’t Exists"),"")</f>
        <v/>
      </c>
      <c r="AA490" s="2" t="str">
        <f t="shared" si="14"/>
        <v/>
      </c>
    </row>
    <row r="491" spans="22:27" x14ac:dyDescent="0.15">
      <c r="V491" s="2" t="str">
        <f t="shared" si="15"/>
        <v/>
      </c>
      <c r="Y491" s="2" t="str">
        <f t="array" ref="Y491">IF(X491&lt;&gt;"",IFERROR(INDEX($AB$3:$AD$600,MATCH(1,($AB$3:$AB$600=W491)*($AC$3:$AC$600=X491),0),3),"Don’t Exists"),"")</f>
        <v/>
      </c>
      <c r="AA491" s="2" t="str">
        <f t="shared" si="14"/>
        <v/>
      </c>
    </row>
    <row r="492" spans="22:27" x14ac:dyDescent="0.15">
      <c r="V492" s="2" t="str">
        <f t="shared" si="15"/>
        <v/>
      </c>
      <c r="Y492" s="2" t="str">
        <f t="array" ref="Y492">IF(X492&lt;&gt;"",IFERROR(INDEX($AB$3:$AD$600,MATCH(1,($AB$3:$AB$600=W492)*($AC$3:$AC$600=X492),0),3),"Don’t Exists"),"")</f>
        <v/>
      </c>
      <c r="AA492" s="2" t="str">
        <f t="shared" si="14"/>
        <v/>
      </c>
    </row>
    <row r="493" spans="22:27" x14ac:dyDescent="0.15">
      <c r="V493" s="2" t="str">
        <f t="shared" si="15"/>
        <v/>
      </c>
      <c r="Y493" s="2" t="str">
        <f t="array" ref="Y493">IF(X493&lt;&gt;"",IFERROR(INDEX($AB$3:$AD$600,MATCH(1,($AB$3:$AB$600=W493)*($AC$3:$AC$600=X493),0),3),"Don’t Exists"),"")</f>
        <v/>
      </c>
      <c r="AA493" s="2" t="str">
        <f t="shared" si="14"/>
        <v/>
      </c>
    </row>
    <row r="494" spans="22:27" x14ac:dyDescent="0.15">
      <c r="V494" s="2" t="str">
        <f t="shared" si="15"/>
        <v/>
      </c>
      <c r="Y494" s="2" t="str">
        <f t="array" ref="Y494">IF(X494&lt;&gt;"",IFERROR(INDEX($AB$3:$AD$600,MATCH(1,($AB$3:$AB$600=W494)*($AC$3:$AC$600=X494),0),3),"Don’t Exists"),"")</f>
        <v/>
      </c>
      <c r="AA494" s="2" t="str">
        <f t="shared" si="14"/>
        <v/>
      </c>
    </row>
    <row r="495" spans="22:27" x14ac:dyDescent="0.15">
      <c r="V495" s="2" t="str">
        <f t="shared" si="15"/>
        <v/>
      </c>
      <c r="Y495" s="2" t="str">
        <f t="array" ref="Y495">IF(X495&lt;&gt;"",IFERROR(INDEX($AB$3:$AD$600,MATCH(1,($AB$3:$AB$600=W495)*($AC$3:$AC$600=X495),0),3),"Don’t Exists"),"")</f>
        <v/>
      </c>
      <c r="AA495" s="2" t="str">
        <f t="shared" si="14"/>
        <v/>
      </c>
    </row>
    <row r="496" spans="22:27" x14ac:dyDescent="0.15">
      <c r="V496" s="2" t="str">
        <f t="shared" si="15"/>
        <v/>
      </c>
      <c r="Y496" s="2" t="str">
        <f t="array" ref="Y496">IF(X496&lt;&gt;"",IFERROR(INDEX($AB$3:$AD$600,MATCH(1,($AB$3:$AB$600=W496)*($AC$3:$AC$600=X496),0),3),"Don’t Exists"),"")</f>
        <v/>
      </c>
      <c r="AA496" s="2" t="str">
        <f t="shared" si="14"/>
        <v/>
      </c>
    </row>
    <row r="497" spans="22:27" x14ac:dyDescent="0.15">
      <c r="V497" s="2" t="str">
        <f t="shared" si="15"/>
        <v/>
      </c>
      <c r="Y497" s="2" t="str">
        <f t="array" ref="Y497">IF(X497&lt;&gt;"",IFERROR(INDEX($AB$3:$AD$600,MATCH(1,($AB$3:$AB$600=W497)*($AC$3:$AC$600=X497),0),3),"Don’t Exists"),"")</f>
        <v/>
      </c>
      <c r="AA497" s="2" t="str">
        <f t="shared" si="14"/>
        <v/>
      </c>
    </row>
    <row r="498" spans="22:27" x14ac:dyDescent="0.15">
      <c r="V498" s="2" t="str">
        <f t="shared" si="15"/>
        <v/>
      </c>
      <c r="Y498" s="2" t="str">
        <f t="array" ref="Y498">IF(X498&lt;&gt;"",IFERROR(INDEX($AB$3:$AD$600,MATCH(1,($AB$3:$AB$600=W498)*($AC$3:$AC$600=X498),0),3),"Don’t Exists"),"")</f>
        <v/>
      </c>
      <c r="AA498" s="2" t="str">
        <f t="shared" si="14"/>
        <v/>
      </c>
    </row>
    <row r="499" spans="22:27" x14ac:dyDescent="0.15">
      <c r="V499" s="2" t="str">
        <f t="shared" si="15"/>
        <v/>
      </c>
      <c r="Y499" s="2" t="str">
        <f t="array" ref="Y499">IF(X499&lt;&gt;"",IFERROR(INDEX($AB$3:$AD$600,MATCH(1,($AB$3:$AB$600=W499)*($AC$3:$AC$600=X499),0),3),"Don’t Exists"),"")</f>
        <v/>
      </c>
      <c r="AA499" s="2" t="str">
        <f t="shared" si="14"/>
        <v/>
      </c>
    </row>
    <row r="500" spans="22:27" x14ac:dyDescent="0.15">
      <c r="V500" s="2" t="str">
        <f t="shared" si="15"/>
        <v/>
      </c>
      <c r="Y500" s="2" t="str">
        <f t="array" ref="Y500">IF(X500&lt;&gt;"",IFERROR(INDEX($AB$3:$AD$600,MATCH(1,($AB$3:$AB$600=W500)*($AC$3:$AC$600=X500),0),3),"Don’t Exists"),"")</f>
        <v/>
      </c>
      <c r="AA500" s="2" t="str">
        <f t="shared" si="14"/>
        <v/>
      </c>
    </row>
    <row r="501" spans="22:27" x14ac:dyDescent="0.15">
      <c r="V501" s="2" t="str">
        <f t="shared" si="15"/>
        <v/>
      </c>
      <c r="Y501" s="2" t="str">
        <f t="array" ref="Y501">IF(X501&lt;&gt;"",IFERROR(INDEX($AB$3:$AD$600,MATCH(1,($AB$3:$AB$600=W501)*($AC$3:$AC$600=X501),0),3),"Don’t Exists"),"")</f>
        <v/>
      </c>
      <c r="AA501" s="2" t="str">
        <f t="shared" si="14"/>
        <v/>
      </c>
    </row>
    <row r="502" spans="22:27" x14ac:dyDescent="0.15">
      <c r="V502" s="2" t="str">
        <f t="shared" si="15"/>
        <v/>
      </c>
      <c r="Y502" s="2" t="str">
        <f t="array" ref="Y502">IF(X502&lt;&gt;"",IFERROR(INDEX($AB$3:$AD$600,MATCH(1,($AB$3:$AB$600=W502)*($AC$3:$AC$600=X502),0),3),"Don’t Exists"),"")</f>
        <v/>
      </c>
      <c r="AA502" s="2" t="str">
        <f t="shared" si="14"/>
        <v/>
      </c>
    </row>
    <row r="503" spans="22:27" x14ac:dyDescent="0.15">
      <c r="V503" s="2" t="str">
        <f t="shared" si="15"/>
        <v/>
      </c>
      <c r="Y503" s="2" t="str">
        <f t="array" ref="Y503">IF(X503&lt;&gt;"",IFERROR(INDEX($AB$3:$AD$600,MATCH(1,($AB$3:$AB$600=W503)*($AC$3:$AC$600=X503),0),3),"Don’t Exists"),"")</f>
        <v/>
      </c>
      <c r="AA503" s="2" t="str">
        <f t="shared" si="14"/>
        <v/>
      </c>
    </row>
    <row r="504" spans="22:27" x14ac:dyDescent="0.15">
      <c r="V504" s="2" t="str">
        <f t="shared" si="15"/>
        <v/>
      </c>
      <c r="Y504" s="2" t="str">
        <f t="array" ref="Y504">IF(X504&lt;&gt;"",IFERROR(INDEX($AB$3:$AD$600,MATCH(1,($AB$3:$AB$600=W504)*($AC$3:$AC$600=X504),0),3),"Don’t Exists"),"")</f>
        <v/>
      </c>
      <c r="AA504" s="2" t="str">
        <f t="shared" si="14"/>
        <v/>
      </c>
    </row>
    <row r="505" spans="22:27" x14ac:dyDescent="0.15">
      <c r="V505" s="2" t="str">
        <f t="shared" si="15"/>
        <v/>
      </c>
      <c r="Y505" s="2" t="str">
        <f t="array" ref="Y505">IF(X505&lt;&gt;"",IFERROR(INDEX($AB$3:$AD$600,MATCH(1,($AB$3:$AB$600=W505)*($AC$3:$AC$600=X505),0),3),"Don’t Exists"),"")</f>
        <v/>
      </c>
      <c r="AA505" s="2" t="str">
        <f t="shared" si="14"/>
        <v/>
      </c>
    </row>
    <row r="506" spans="22:27" x14ac:dyDescent="0.15">
      <c r="V506" s="2" t="str">
        <f t="shared" si="15"/>
        <v/>
      </c>
      <c r="Y506" s="2" t="str">
        <f t="array" ref="Y506">IF(X506&lt;&gt;"",IFERROR(INDEX($AB$3:$AD$600,MATCH(1,($AB$3:$AB$600=W506)*($AC$3:$AC$600=X506),0),3),"Don’t Exists"),"")</f>
        <v/>
      </c>
      <c r="AA506" s="2" t="str">
        <f t="shared" si="14"/>
        <v/>
      </c>
    </row>
    <row r="507" spans="22:27" x14ac:dyDescent="0.15">
      <c r="V507" s="2" t="str">
        <f t="shared" si="15"/>
        <v/>
      </c>
      <c r="Y507" s="2" t="str">
        <f t="array" ref="Y507">IF(X507&lt;&gt;"",IFERROR(INDEX($AB$3:$AD$600,MATCH(1,($AB$3:$AB$600=W507)*($AC$3:$AC$600=X507),0),3),"Don’t Exists"),"")</f>
        <v/>
      </c>
      <c r="AA507" s="2" t="str">
        <f t="shared" si="14"/>
        <v/>
      </c>
    </row>
    <row r="508" spans="22:27" x14ac:dyDescent="0.15">
      <c r="V508" s="2" t="str">
        <f t="shared" si="15"/>
        <v/>
      </c>
      <c r="Y508" s="2" t="str">
        <f t="array" ref="Y508">IF(X508&lt;&gt;"",IFERROR(INDEX($AB$3:$AD$600,MATCH(1,($AB$3:$AB$600=W508)*($AC$3:$AC$600=X508),0),3),"Don’t Exists"),"")</f>
        <v/>
      </c>
      <c r="AA508" s="2" t="str">
        <f t="shared" si="14"/>
        <v/>
      </c>
    </row>
    <row r="509" spans="22:27" x14ac:dyDescent="0.15">
      <c r="V509" s="2" t="str">
        <f t="shared" si="15"/>
        <v/>
      </c>
      <c r="Y509" s="2" t="str">
        <f t="array" ref="Y509">IF(X509&lt;&gt;"",IFERROR(INDEX($AB$3:$AD$600,MATCH(1,($AB$3:$AB$600=W509)*($AC$3:$AC$600=X509),0),3),"Don’t Exists"),"")</f>
        <v/>
      </c>
      <c r="AA509" s="2" t="str">
        <f t="shared" si="14"/>
        <v/>
      </c>
    </row>
    <row r="510" spans="22:27" x14ac:dyDescent="0.15">
      <c r="V510" s="2" t="str">
        <f t="shared" si="15"/>
        <v/>
      </c>
      <c r="Y510" s="2" t="str">
        <f t="array" ref="Y510">IF(X510&lt;&gt;"",IFERROR(INDEX($AB$3:$AD$600,MATCH(1,($AB$3:$AB$600=W510)*($AC$3:$AC$600=X510),0),3),"Don’t Exists"),"")</f>
        <v/>
      </c>
      <c r="AA510" s="2" t="str">
        <f t="shared" si="14"/>
        <v/>
      </c>
    </row>
    <row r="511" spans="22:27" x14ac:dyDescent="0.15">
      <c r="V511" s="2" t="str">
        <f t="shared" si="15"/>
        <v/>
      </c>
      <c r="Y511" s="2" t="str">
        <f t="array" ref="Y511">IF(X511&lt;&gt;"",IFERROR(INDEX($AB$3:$AD$600,MATCH(1,($AB$3:$AB$600=W511)*($AC$3:$AC$600=X511),0),3),"Don’t Exists"),"")</f>
        <v/>
      </c>
      <c r="AA511" s="2" t="str">
        <f t="shared" si="14"/>
        <v/>
      </c>
    </row>
    <row r="512" spans="22:27" x14ac:dyDescent="0.15">
      <c r="V512" s="2" t="str">
        <f t="shared" si="15"/>
        <v/>
      </c>
      <c r="Y512" s="2" t="str">
        <f t="array" ref="Y512">IF(X512&lt;&gt;"",IFERROR(INDEX($AB$3:$AD$600,MATCH(1,($AB$3:$AB$600=W512)*($AC$3:$AC$600=X512),0),3),"Don’t Exists"),"")</f>
        <v/>
      </c>
      <c r="AA512" s="2" t="str">
        <f t="shared" si="14"/>
        <v/>
      </c>
    </row>
    <row r="513" spans="22:27" x14ac:dyDescent="0.15">
      <c r="V513" s="2" t="str">
        <f t="shared" si="15"/>
        <v/>
      </c>
      <c r="Y513" s="2" t="str">
        <f t="array" ref="Y513">IF(X513&lt;&gt;"",IFERROR(INDEX($AB$3:$AD$600,MATCH(1,($AB$3:$AB$600=W513)*($AC$3:$AC$600=X513),0),3),"Don’t Exists"),"")</f>
        <v/>
      </c>
      <c r="AA513" s="2" t="str">
        <f t="shared" si="14"/>
        <v/>
      </c>
    </row>
    <row r="514" spans="22:27" x14ac:dyDescent="0.15">
      <c r="V514" s="2" t="str">
        <f t="shared" si="15"/>
        <v/>
      </c>
      <c r="Y514" s="2" t="str">
        <f t="array" ref="Y514">IF(X514&lt;&gt;"",IFERROR(INDEX($AB$3:$AD$600,MATCH(1,($AB$3:$AB$600=W514)*($AC$3:$AC$600=X514),0),3),"Don’t Exists"),"")</f>
        <v/>
      </c>
      <c r="AA514" s="2" t="str">
        <f t="shared" si="14"/>
        <v/>
      </c>
    </row>
    <row r="515" spans="22:27" x14ac:dyDescent="0.15">
      <c r="V515" s="2" t="str">
        <f t="shared" si="15"/>
        <v/>
      </c>
      <c r="Y515" s="2" t="str">
        <f t="array" ref="Y515">IF(X515&lt;&gt;"",IFERROR(INDEX($AB$3:$AD$600,MATCH(1,($AB$3:$AB$600=W515)*($AC$3:$AC$600=X515),0),3),"Don’t Exists"),"")</f>
        <v/>
      </c>
      <c r="AA515" s="2" t="str">
        <f t="shared" si="14"/>
        <v/>
      </c>
    </row>
    <row r="516" spans="22:27" x14ac:dyDescent="0.15">
      <c r="V516" s="2" t="str">
        <f t="shared" si="15"/>
        <v/>
      </c>
      <c r="Y516" s="2" t="str">
        <f t="array" ref="Y516">IF(X516&lt;&gt;"",IFERROR(INDEX($AB$3:$AD$600,MATCH(1,($AB$3:$AB$600=W516)*($AC$3:$AC$600=X516),0),3),"Don’t Exists"),"")</f>
        <v/>
      </c>
      <c r="AA516" s="2" t="str">
        <f t="shared" ref="AA516:AA579" si="16">IF(AC516&lt;&gt;"",ROW()-2,"")</f>
        <v/>
      </c>
    </row>
    <row r="517" spans="22:27" x14ac:dyDescent="0.15">
      <c r="V517" s="2" t="str">
        <f t="shared" si="15"/>
        <v/>
      </c>
      <c r="Y517" s="2" t="str">
        <f t="array" ref="Y517">IF(X517&lt;&gt;"",IFERROR(INDEX($AB$3:$AD$600,MATCH(1,($AB$3:$AB$600=W517)*($AC$3:$AC$600=X517),0),3),"Don’t Exists"),"")</f>
        <v/>
      </c>
      <c r="AA517" s="2" t="str">
        <f t="shared" si="16"/>
        <v/>
      </c>
    </row>
    <row r="518" spans="22:27" x14ac:dyDescent="0.15">
      <c r="V518" s="2" t="str">
        <f t="shared" si="15"/>
        <v/>
      </c>
      <c r="Y518" s="2" t="str">
        <f t="array" ref="Y518">IF(X518&lt;&gt;"",IFERROR(INDEX($AB$3:$AD$600,MATCH(1,($AB$3:$AB$600=W518)*($AC$3:$AC$600=X518),0),3),"Don’t Exists"),"")</f>
        <v/>
      </c>
      <c r="AA518" s="2" t="str">
        <f t="shared" si="16"/>
        <v/>
      </c>
    </row>
    <row r="519" spans="22:27" x14ac:dyDescent="0.15">
      <c r="V519" s="2" t="str">
        <f t="shared" si="15"/>
        <v/>
      </c>
      <c r="Y519" s="2" t="str">
        <f t="array" ref="Y519">IF(X519&lt;&gt;"",IFERROR(INDEX($AB$3:$AD$600,MATCH(1,($AB$3:$AB$600=W519)*($AC$3:$AC$600=X519),0),3),"Don’t Exists"),"")</f>
        <v/>
      </c>
      <c r="AA519" s="2" t="str">
        <f t="shared" si="16"/>
        <v/>
      </c>
    </row>
    <row r="520" spans="22:27" x14ac:dyDescent="0.15">
      <c r="V520" s="2" t="str">
        <f t="shared" si="15"/>
        <v/>
      </c>
      <c r="Y520" s="2" t="str">
        <f t="array" ref="Y520">IF(X520&lt;&gt;"",IFERROR(INDEX($AB$3:$AD$600,MATCH(1,($AB$3:$AB$600=W520)*($AC$3:$AC$600=X520),0),3),"Don’t Exists"),"")</f>
        <v/>
      </c>
      <c r="AA520" s="2" t="str">
        <f t="shared" si="16"/>
        <v/>
      </c>
    </row>
    <row r="521" spans="22:27" x14ac:dyDescent="0.15">
      <c r="V521" s="2" t="str">
        <f t="shared" si="15"/>
        <v/>
      </c>
      <c r="Y521" s="2" t="str">
        <f t="array" ref="Y521">IF(X521&lt;&gt;"",IFERROR(INDEX($AB$3:$AD$600,MATCH(1,($AB$3:$AB$600=W521)*($AC$3:$AC$600=X521),0),3),"Don’t Exists"),"")</f>
        <v/>
      </c>
      <c r="AA521" s="2" t="str">
        <f t="shared" si="16"/>
        <v/>
      </c>
    </row>
    <row r="522" spans="22:27" x14ac:dyDescent="0.15">
      <c r="V522" s="2" t="str">
        <f t="shared" si="15"/>
        <v/>
      </c>
      <c r="Y522" s="2" t="str">
        <f t="array" ref="Y522">IF(X522&lt;&gt;"",IFERROR(INDEX($AB$3:$AD$600,MATCH(1,($AB$3:$AB$600=W522)*($AC$3:$AC$600=X522),0),3),"Don’t Exists"),"")</f>
        <v/>
      </c>
      <c r="AA522" s="2" t="str">
        <f t="shared" si="16"/>
        <v/>
      </c>
    </row>
    <row r="523" spans="22:27" x14ac:dyDescent="0.15">
      <c r="V523" s="2" t="str">
        <f t="shared" si="15"/>
        <v/>
      </c>
      <c r="Y523" s="2" t="str">
        <f t="array" ref="Y523">IF(X523&lt;&gt;"",IFERROR(INDEX($AB$3:$AD$600,MATCH(1,($AB$3:$AB$600=W523)*($AC$3:$AC$600=X523),0),3),"Don’t Exists"),"")</f>
        <v/>
      </c>
      <c r="AA523" s="2" t="str">
        <f t="shared" si="16"/>
        <v/>
      </c>
    </row>
    <row r="524" spans="22:27" x14ac:dyDescent="0.15">
      <c r="V524" s="2" t="str">
        <f t="shared" si="15"/>
        <v/>
      </c>
      <c r="Y524" s="2" t="str">
        <f t="array" ref="Y524">IF(X524&lt;&gt;"",IFERROR(INDEX($AB$3:$AD$600,MATCH(1,($AB$3:$AB$600=W524)*($AC$3:$AC$600=X524),0),3),"Don’t Exists"),"")</f>
        <v/>
      </c>
      <c r="AA524" s="2" t="str">
        <f t="shared" si="16"/>
        <v/>
      </c>
    </row>
    <row r="525" spans="22:27" x14ac:dyDescent="0.15">
      <c r="V525" s="2" t="str">
        <f t="shared" ref="V525:V588" si="17">IF(X525&lt;&gt;"",ROW()-ROW(V$11),"")</f>
        <v/>
      </c>
      <c r="Y525" s="2" t="str">
        <f t="array" ref="Y525">IF(X525&lt;&gt;"",IFERROR(INDEX($AB$3:$AD$600,MATCH(1,($AB$3:$AB$600=W525)*($AC$3:$AC$600=X525),0),3),"Don’t Exists"),"")</f>
        <v/>
      </c>
      <c r="AA525" s="2" t="str">
        <f t="shared" si="16"/>
        <v/>
      </c>
    </row>
    <row r="526" spans="22:27" x14ac:dyDescent="0.15">
      <c r="V526" s="2" t="str">
        <f t="shared" si="17"/>
        <v/>
      </c>
      <c r="Y526" s="2" t="str">
        <f t="array" ref="Y526">IF(X526&lt;&gt;"",IFERROR(INDEX($AB$3:$AD$600,MATCH(1,($AB$3:$AB$600=W526)*($AC$3:$AC$600=X526),0),3),"Don’t Exists"),"")</f>
        <v/>
      </c>
      <c r="AA526" s="2" t="str">
        <f t="shared" si="16"/>
        <v/>
      </c>
    </row>
    <row r="527" spans="22:27" x14ac:dyDescent="0.15">
      <c r="V527" s="2" t="str">
        <f t="shared" si="17"/>
        <v/>
      </c>
      <c r="Y527" s="2" t="str">
        <f t="array" ref="Y527">IF(X527&lt;&gt;"",IFERROR(INDEX($AB$3:$AD$600,MATCH(1,($AB$3:$AB$600=W527)*($AC$3:$AC$600=X527),0),3),"Don’t Exists"),"")</f>
        <v/>
      </c>
      <c r="AA527" s="2" t="str">
        <f t="shared" si="16"/>
        <v/>
      </c>
    </row>
    <row r="528" spans="22:27" x14ac:dyDescent="0.15">
      <c r="V528" s="2" t="str">
        <f t="shared" si="17"/>
        <v/>
      </c>
      <c r="Y528" s="2" t="str">
        <f t="array" ref="Y528">IF(X528&lt;&gt;"",IFERROR(INDEX($AB$3:$AD$600,MATCH(1,($AB$3:$AB$600=W528)*($AC$3:$AC$600=X528),0),3),"Don’t Exists"),"")</f>
        <v/>
      </c>
      <c r="AA528" s="2" t="str">
        <f t="shared" si="16"/>
        <v/>
      </c>
    </row>
    <row r="529" spans="22:27" x14ac:dyDescent="0.15">
      <c r="V529" s="2" t="str">
        <f t="shared" si="17"/>
        <v/>
      </c>
      <c r="Y529" s="2" t="str">
        <f t="array" ref="Y529">IF(X529&lt;&gt;"",IFERROR(INDEX($AB$3:$AD$600,MATCH(1,($AB$3:$AB$600=W529)*($AC$3:$AC$600=X529),0),3),"Don’t Exists"),"")</f>
        <v/>
      </c>
      <c r="AA529" s="2" t="str">
        <f t="shared" si="16"/>
        <v/>
      </c>
    </row>
    <row r="530" spans="22:27" x14ac:dyDescent="0.15">
      <c r="V530" s="2" t="str">
        <f t="shared" si="17"/>
        <v/>
      </c>
      <c r="Y530" s="2" t="str">
        <f t="array" ref="Y530">IF(X530&lt;&gt;"",IFERROR(INDEX($AB$3:$AD$600,MATCH(1,($AB$3:$AB$600=W530)*($AC$3:$AC$600=X530),0),3),"Don’t Exists"),"")</f>
        <v/>
      </c>
      <c r="AA530" s="2" t="str">
        <f t="shared" si="16"/>
        <v/>
      </c>
    </row>
    <row r="531" spans="22:27" x14ac:dyDescent="0.15">
      <c r="V531" s="2" t="str">
        <f t="shared" si="17"/>
        <v/>
      </c>
      <c r="Y531" s="2" t="str">
        <f t="array" ref="Y531">IF(X531&lt;&gt;"",IFERROR(INDEX($AB$3:$AD$600,MATCH(1,($AB$3:$AB$600=W531)*($AC$3:$AC$600=X531),0),3),"Don’t Exists"),"")</f>
        <v/>
      </c>
      <c r="AA531" s="2" t="str">
        <f t="shared" si="16"/>
        <v/>
      </c>
    </row>
    <row r="532" spans="22:27" x14ac:dyDescent="0.15">
      <c r="V532" s="2" t="str">
        <f t="shared" si="17"/>
        <v/>
      </c>
      <c r="Y532" s="2" t="str">
        <f t="array" ref="Y532">IF(X532&lt;&gt;"",IFERROR(INDEX($AB$3:$AD$600,MATCH(1,($AB$3:$AB$600=W532)*($AC$3:$AC$600=X532),0),3),"Don’t Exists"),"")</f>
        <v/>
      </c>
      <c r="AA532" s="2" t="str">
        <f t="shared" si="16"/>
        <v/>
      </c>
    </row>
    <row r="533" spans="22:27" x14ac:dyDescent="0.15">
      <c r="V533" s="2" t="str">
        <f t="shared" si="17"/>
        <v/>
      </c>
      <c r="Y533" s="2" t="str">
        <f t="array" ref="Y533">IF(X533&lt;&gt;"",IFERROR(INDEX($AB$3:$AD$600,MATCH(1,($AB$3:$AB$600=W533)*($AC$3:$AC$600=X533),0),3),"Don’t Exists"),"")</f>
        <v/>
      </c>
      <c r="AA533" s="2" t="str">
        <f t="shared" si="16"/>
        <v/>
      </c>
    </row>
    <row r="534" spans="22:27" x14ac:dyDescent="0.15">
      <c r="V534" s="2" t="str">
        <f t="shared" si="17"/>
        <v/>
      </c>
      <c r="Y534" s="2" t="str">
        <f t="array" ref="Y534">IF(X534&lt;&gt;"",IFERROR(INDEX($AB$3:$AD$600,MATCH(1,($AB$3:$AB$600=W534)*($AC$3:$AC$600=X534),0),3),"Don’t Exists"),"")</f>
        <v/>
      </c>
      <c r="AA534" s="2" t="str">
        <f t="shared" si="16"/>
        <v/>
      </c>
    </row>
    <row r="535" spans="22:27" x14ac:dyDescent="0.15">
      <c r="V535" s="2" t="str">
        <f t="shared" si="17"/>
        <v/>
      </c>
      <c r="Y535" s="2" t="str">
        <f t="array" ref="Y535">IF(X535&lt;&gt;"",IFERROR(INDEX($AB$3:$AD$600,MATCH(1,($AB$3:$AB$600=W535)*($AC$3:$AC$600=X535),0),3),"Don’t Exists"),"")</f>
        <v/>
      </c>
      <c r="AA535" s="2" t="str">
        <f t="shared" si="16"/>
        <v/>
      </c>
    </row>
    <row r="536" spans="22:27" x14ac:dyDescent="0.15">
      <c r="V536" s="2" t="str">
        <f t="shared" si="17"/>
        <v/>
      </c>
      <c r="Y536" s="2" t="str">
        <f t="array" ref="Y536">IF(X536&lt;&gt;"",IFERROR(INDEX($AB$3:$AD$600,MATCH(1,($AB$3:$AB$600=W536)*($AC$3:$AC$600=X536),0),3),"Don’t Exists"),"")</f>
        <v/>
      </c>
      <c r="AA536" s="2" t="str">
        <f t="shared" si="16"/>
        <v/>
      </c>
    </row>
    <row r="537" spans="22:27" x14ac:dyDescent="0.15">
      <c r="V537" s="2" t="str">
        <f t="shared" si="17"/>
        <v/>
      </c>
      <c r="Y537" s="2" t="str">
        <f t="array" ref="Y537">IF(X537&lt;&gt;"",IFERROR(INDEX($AB$3:$AD$600,MATCH(1,($AB$3:$AB$600=W537)*($AC$3:$AC$600=X537),0),3),"Don’t Exists"),"")</f>
        <v/>
      </c>
      <c r="AA537" s="2" t="str">
        <f t="shared" si="16"/>
        <v/>
      </c>
    </row>
    <row r="538" spans="22:27" x14ac:dyDescent="0.15">
      <c r="V538" s="2" t="str">
        <f t="shared" si="17"/>
        <v/>
      </c>
      <c r="Y538" s="2" t="str">
        <f t="array" ref="Y538">IF(X538&lt;&gt;"",IFERROR(INDEX($AB$3:$AD$600,MATCH(1,($AB$3:$AB$600=W538)*($AC$3:$AC$600=X538),0),3),"Don’t Exists"),"")</f>
        <v/>
      </c>
      <c r="AA538" s="2" t="str">
        <f t="shared" si="16"/>
        <v/>
      </c>
    </row>
    <row r="539" spans="22:27" x14ac:dyDescent="0.15">
      <c r="V539" s="2" t="str">
        <f t="shared" si="17"/>
        <v/>
      </c>
      <c r="Y539" s="2" t="str">
        <f t="array" ref="Y539">IF(X539&lt;&gt;"",IFERROR(INDEX($AB$3:$AD$600,MATCH(1,($AB$3:$AB$600=W539)*($AC$3:$AC$600=X539),0),3),"Don’t Exists"),"")</f>
        <v/>
      </c>
      <c r="AA539" s="2" t="str">
        <f t="shared" si="16"/>
        <v/>
      </c>
    </row>
    <row r="540" spans="22:27" x14ac:dyDescent="0.15">
      <c r="V540" s="2" t="str">
        <f t="shared" si="17"/>
        <v/>
      </c>
      <c r="Y540" s="2" t="str">
        <f t="array" ref="Y540">IF(X540&lt;&gt;"",IFERROR(INDEX($AB$3:$AD$600,MATCH(1,($AB$3:$AB$600=W540)*($AC$3:$AC$600=X540),0),3),"Don’t Exists"),"")</f>
        <v/>
      </c>
      <c r="AA540" s="2" t="str">
        <f t="shared" si="16"/>
        <v/>
      </c>
    </row>
    <row r="541" spans="22:27" x14ac:dyDescent="0.15">
      <c r="V541" s="2" t="str">
        <f t="shared" si="17"/>
        <v/>
      </c>
      <c r="Y541" s="2" t="str">
        <f t="array" ref="Y541">IF(X541&lt;&gt;"",IFERROR(INDEX($AB$3:$AD$600,MATCH(1,($AB$3:$AB$600=W541)*($AC$3:$AC$600=X541),0),3),"Don’t Exists"),"")</f>
        <v/>
      </c>
      <c r="AA541" s="2" t="str">
        <f t="shared" si="16"/>
        <v/>
      </c>
    </row>
    <row r="542" spans="22:27" x14ac:dyDescent="0.15">
      <c r="V542" s="2" t="str">
        <f t="shared" si="17"/>
        <v/>
      </c>
      <c r="Y542" s="2" t="str">
        <f t="array" ref="Y542">IF(X542&lt;&gt;"",IFERROR(INDEX($AB$3:$AD$600,MATCH(1,($AB$3:$AB$600=W542)*($AC$3:$AC$600=X542),0),3),"Don’t Exists"),"")</f>
        <v/>
      </c>
      <c r="AA542" s="2" t="str">
        <f t="shared" si="16"/>
        <v/>
      </c>
    </row>
    <row r="543" spans="22:27" x14ac:dyDescent="0.15">
      <c r="V543" s="2" t="str">
        <f t="shared" si="17"/>
        <v/>
      </c>
      <c r="Y543" s="2" t="str">
        <f t="array" ref="Y543">IF(X543&lt;&gt;"",IFERROR(INDEX($AB$3:$AD$600,MATCH(1,($AB$3:$AB$600=W543)*($AC$3:$AC$600=X543),0),3),"Don’t Exists"),"")</f>
        <v/>
      </c>
      <c r="AA543" s="2" t="str">
        <f t="shared" si="16"/>
        <v/>
      </c>
    </row>
    <row r="544" spans="22:27" x14ac:dyDescent="0.15">
      <c r="V544" s="2" t="str">
        <f t="shared" si="17"/>
        <v/>
      </c>
      <c r="Y544" s="2" t="str">
        <f t="array" ref="Y544">IF(X544&lt;&gt;"",IFERROR(INDEX($AB$3:$AD$600,MATCH(1,($AB$3:$AB$600=W544)*($AC$3:$AC$600=X544),0),3),"Don’t Exists"),"")</f>
        <v/>
      </c>
      <c r="AA544" s="2" t="str">
        <f t="shared" si="16"/>
        <v/>
      </c>
    </row>
    <row r="545" spans="22:27" x14ac:dyDescent="0.15">
      <c r="V545" s="2" t="str">
        <f t="shared" si="17"/>
        <v/>
      </c>
      <c r="Y545" s="2" t="str">
        <f t="array" ref="Y545">IF(X545&lt;&gt;"",IFERROR(INDEX($AB$3:$AD$600,MATCH(1,($AB$3:$AB$600=W545)*($AC$3:$AC$600=X545),0),3),"Don’t Exists"),"")</f>
        <v/>
      </c>
      <c r="AA545" s="2" t="str">
        <f t="shared" si="16"/>
        <v/>
      </c>
    </row>
    <row r="546" spans="22:27" x14ac:dyDescent="0.15">
      <c r="V546" s="2" t="str">
        <f t="shared" si="17"/>
        <v/>
      </c>
      <c r="Y546" s="2" t="str">
        <f t="array" ref="Y546">IF(X546&lt;&gt;"",IFERROR(INDEX($AB$3:$AD$600,MATCH(1,($AB$3:$AB$600=W546)*($AC$3:$AC$600=X546),0),3),"Don’t Exists"),"")</f>
        <v/>
      </c>
      <c r="AA546" s="2" t="str">
        <f t="shared" si="16"/>
        <v/>
      </c>
    </row>
    <row r="547" spans="22:27" x14ac:dyDescent="0.15">
      <c r="V547" s="2" t="str">
        <f t="shared" si="17"/>
        <v/>
      </c>
      <c r="Y547" s="2" t="str">
        <f t="array" ref="Y547">IF(X547&lt;&gt;"",IFERROR(INDEX($AB$3:$AD$600,MATCH(1,($AB$3:$AB$600=W547)*($AC$3:$AC$600=X547),0),3),"Don’t Exists"),"")</f>
        <v/>
      </c>
      <c r="AA547" s="2" t="str">
        <f t="shared" si="16"/>
        <v/>
      </c>
    </row>
    <row r="548" spans="22:27" x14ac:dyDescent="0.15">
      <c r="V548" s="2" t="str">
        <f t="shared" si="17"/>
        <v/>
      </c>
      <c r="Y548" s="2" t="str">
        <f t="array" ref="Y548">IF(X548&lt;&gt;"",IFERROR(INDEX($AB$3:$AD$600,MATCH(1,($AB$3:$AB$600=W548)*($AC$3:$AC$600=X548),0),3),"Don’t Exists"),"")</f>
        <v/>
      </c>
      <c r="AA548" s="2" t="str">
        <f t="shared" si="16"/>
        <v/>
      </c>
    </row>
    <row r="549" spans="22:27" x14ac:dyDescent="0.15">
      <c r="V549" s="2" t="str">
        <f t="shared" si="17"/>
        <v/>
      </c>
      <c r="Y549" s="2" t="str">
        <f t="array" ref="Y549">IF(X549&lt;&gt;"",IFERROR(INDEX($AB$3:$AD$600,MATCH(1,($AB$3:$AB$600=W549)*($AC$3:$AC$600=X549),0),3),"Don’t Exists"),"")</f>
        <v/>
      </c>
      <c r="AA549" s="2" t="str">
        <f t="shared" si="16"/>
        <v/>
      </c>
    </row>
    <row r="550" spans="22:27" x14ac:dyDescent="0.15">
      <c r="V550" s="2" t="str">
        <f t="shared" si="17"/>
        <v/>
      </c>
      <c r="Y550" s="2" t="str">
        <f t="array" ref="Y550">IF(X550&lt;&gt;"",IFERROR(INDEX($AB$3:$AD$600,MATCH(1,($AB$3:$AB$600=W550)*($AC$3:$AC$600=X550),0),3),"Don’t Exists"),"")</f>
        <v/>
      </c>
      <c r="AA550" s="2" t="str">
        <f t="shared" si="16"/>
        <v/>
      </c>
    </row>
    <row r="551" spans="22:27" x14ac:dyDescent="0.15">
      <c r="V551" s="2" t="str">
        <f t="shared" si="17"/>
        <v/>
      </c>
      <c r="Y551" s="2" t="str">
        <f t="array" ref="Y551">IF(X551&lt;&gt;"",IFERROR(INDEX($AB$3:$AD$600,MATCH(1,($AB$3:$AB$600=W551)*($AC$3:$AC$600=X551),0),3),"Don’t Exists"),"")</f>
        <v/>
      </c>
      <c r="AA551" s="2" t="str">
        <f t="shared" si="16"/>
        <v/>
      </c>
    </row>
    <row r="552" spans="22:27" x14ac:dyDescent="0.15">
      <c r="V552" s="2" t="str">
        <f t="shared" si="17"/>
        <v/>
      </c>
      <c r="Y552" s="2" t="str">
        <f t="array" ref="Y552">IF(X552&lt;&gt;"",IFERROR(INDEX($AB$3:$AD$600,MATCH(1,($AB$3:$AB$600=W552)*($AC$3:$AC$600=X552),0),3),"Don’t Exists"),"")</f>
        <v/>
      </c>
      <c r="AA552" s="2" t="str">
        <f t="shared" si="16"/>
        <v/>
      </c>
    </row>
    <row r="553" spans="22:27" x14ac:dyDescent="0.15">
      <c r="V553" s="2" t="str">
        <f t="shared" si="17"/>
        <v/>
      </c>
      <c r="Y553" s="2" t="str">
        <f t="array" ref="Y553">IF(X553&lt;&gt;"",IFERROR(INDEX($AB$3:$AD$600,MATCH(1,($AB$3:$AB$600=W553)*($AC$3:$AC$600=X553),0),3),"Don’t Exists"),"")</f>
        <v/>
      </c>
      <c r="AA553" s="2" t="str">
        <f t="shared" si="16"/>
        <v/>
      </c>
    </row>
    <row r="554" spans="22:27" x14ac:dyDescent="0.15">
      <c r="V554" s="2" t="str">
        <f t="shared" si="17"/>
        <v/>
      </c>
      <c r="Y554" s="2" t="str">
        <f t="array" ref="Y554">IF(X554&lt;&gt;"",IFERROR(INDEX($AB$3:$AD$600,MATCH(1,($AB$3:$AB$600=W554)*($AC$3:$AC$600=X554),0),3),"Don’t Exists"),"")</f>
        <v/>
      </c>
      <c r="AA554" s="2" t="str">
        <f t="shared" si="16"/>
        <v/>
      </c>
    </row>
    <row r="555" spans="22:27" x14ac:dyDescent="0.15">
      <c r="V555" s="2" t="str">
        <f t="shared" si="17"/>
        <v/>
      </c>
      <c r="Y555" s="2" t="str">
        <f t="array" ref="Y555">IF(X555&lt;&gt;"",IFERROR(INDEX($AB$3:$AD$600,MATCH(1,($AB$3:$AB$600=W555)*($AC$3:$AC$600=X555),0),3),"Don’t Exists"),"")</f>
        <v/>
      </c>
      <c r="AA555" s="2" t="str">
        <f t="shared" si="16"/>
        <v/>
      </c>
    </row>
    <row r="556" spans="22:27" x14ac:dyDescent="0.15">
      <c r="V556" s="2" t="str">
        <f t="shared" si="17"/>
        <v/>
      </c>
      <c r="Y556" s="2" t="str">
        <f t="array" ref="Y556">IF(X556&lt;&gt;"",IFERROR(INDEX($AB$3:$AD$600,MATCH(1,($AB$3:$AB$600=W556)*($AC$3:$AC$600=X556),0),3),"Don’t Exists"),"")</f>
        <v/>
      </c>
      <c r="AA556" s="2" t="str">
        <f t="shared" si="16"/>
        <v/>
      </c>
    </row>
    <row r="557" spans="22:27" x14ac:dyDescent="0.15">
      <c r="V557" s="2" t="str">
        <f t="shared" si="17"/>
        <v/>
      </c>
      <c r="Y557" s="2" t="str">
        <f t="array" ref="Y557">IF(X557&lt;&gt;"",IFERROR(INDEX($AB$3:$AD$600,MATCH(1,($AB$3:$AB$600=W557)*($AC$3:$AC$600=X557),0),3),"Don’t Exists"),"")</f>
        <v/>
      </c>
      <c r="AA557" s="2" t="str">
        <f t="shared" si="16"/>
        <v/>
      </c>
    </row>
    <row r="558" spans="22:27" x14ac:dyDescent="0.15">
      <c r="V558" s="2" t="str">
        <f t="shared" si="17"/>
        <v/>
      </c>
      <c r="Y558" s="2" t="str">
        <f t="array" ref="Y558">IF(X558&lt;&gt;"",IFERROR(INDEX($AB$3:$AD$600,MATCH(1,($AB$3:$AB$600=W558)*($AC$3:$AC$600=X558),0),3),"Don’t Exists"),"")</f>
        <v/>
      </c>
      <c r="AA558" s="2" t="str">
        <f t="shared" si="16"/>
        <v/>
      </c>
    </row>
    <row r="559" spans="22:27" x14ac:dyDescent="0.15">
      <c r="V559" s="2" t="str">
        <f t="shared" si="17"/>
        <v/>
      </c>
      <c r="Y559" s="2" t="str">
        <f t="array" ref="Y559">IF(X559&lt;&gt;"",IFERROR(INDEX($AB$3:$AD$600,MATCH(1,($AB$3:$AB$600=W559)*($AC$3:$AC$600=X559),0),3),"Don’t Exists"),"")</f>
        <v/>
      </c>
      <c r="AA559" s="2" t="str">
        <f t="shared" si="16"/>
        <v/>
      </c>
    </row>
    <row r="560" spans="22:27" x14ac:dyDescent="0.15">
      <c r="V560" s="2" t="str">
        <f t="shared" si="17"/>
        <v/>
      </c>
      <c r="Y560" s="2" t="str">
        <f t="array" ref="Y560">IF(X560&lt;&gt;"",IFERROR(INDEX($AB$3:$AD$600,MATCH(1,($AB$3:$AB$600=W560)*($AC$3:$AC$600=X560),0),3),"Don’t Exists"),"")</f>
        <v/>
      </c>
      <c r="AA560" s="2" t="str">
        <f t="shared" si="16"/>
        <v/>
      </c>
    </row>
    <row r="561" spans="22:27" x14ac:dyDescent="0.15">
      <c r="V561" s="2" t="str">
        <f t="shared" si="17"/>
        <v/>
      </c>
      <c r="Y561" s="2" t="str">
        <f t="array" ref="Y561">IF(X561&lt;&gt;"",IFERROR(INDEX($AB$3:$AD$600,MATCH(1,($AB$3:$AB$600=W561)*($AC$3:$AC$600=X561),0),3),"Don’t Exists"),"")</f>
        <v/>
      </c>
      <c r="AA561" s="2" t="str">
        <f t="shared" si="16"/>
        <v/>
      </c>
    </row>
    <row r="562" spans="22:27" x14ac:dyDescent="0.15">
      <c r="V562" s="2" t="str">
        <f t="shared" si="17"/>
        <v/>
      </c>
      <c r="Y562" s="2" t="str">
        <f t="array" ref="Y562">IF(X562&lt;&gt;"",IFERROR(INDEX($AB$3:$AD$600,MATCH(1,($AB$3:$AB$600=W562)*($AC$3:$AC$600=X562),0),3),"Don’t Exists"),"")</f>
        <v/>
      </c>
      <c r="AA562" s="2" t="str">
        <f t="shared" si="16"/>
        <v/>
      </c>
    </row>
    <row r="563" spans="22:27" x14ac:dyDescent="0.15">
      <c r="V563" s="2" t="str">
        <f t="shared" si="17"/>
        <v/>
      </c>
      <c r="Y563" s="2" t="str">
        <f t="array" ref="Y563">IF(X563&lt;&gt;"",IFERROR(INDEX($AB$3:$AD$600,MATCH(1,($AB$3:$AB$600=W563)*($AC$3:$AC$600=X563),0),3),"Don’t Exists"),"")</f>
        <v/>
      </c>
      <c r="AA563" s="2" t="str">
        <f t="shared" si="16"/>
        <v/>
      </c>
    </row>
    <row r="564" spans="22:27" x14ac:dyDescent="0.15">
      <c r="V564" s="2" t="str">
        <f t="shared" si="17"/>
        <v/>
      </c>
      <c r="Y564" s="2" t="str">
        <f t="array" ref="Y564">IF(X564&lt;&gt;"",IFERROR(INDEX($AB$3:$AD$600,MATCH(1,($AB$3:$AB$600=W564)*($AC$3:$AC$600=X564),0),3),"Don’t Exists"),"")</f>
        <v/>
      </c>
      <c r="AA564" s="2" t="str">
        <f t="shared" si="16"/>
        <v/>
      </c>
    </row>
    <row r="565" spans="22:27" x14ac:dyDescent="0.15">
      <c r="V565" s="2" t="str">
        <f t="shared" si="17"/>
        <v/>
      </c>
      <c r="Y565" s="2" t="str">
        <f t="array" ref="Y565">IF(X565&lt;&gt;"",IFERROR(INDEX($AB$3:$AD$600,MATCH(1,($AB$3:$AB$600=W565)*($AC$3:$AC$600=X565),0),3),"Don’t Exists"),"")</f>
        <v/>
      </c>
      <c r="AA565" s="2" t="str">
        <f t="shared" si="16"/>
        <v/>
      </c>
    </row>
    <row r="566" spans="22:27" x14ac:dyDescent="0.15">
      <c r="V566" s="2" t="str">
        <f t="shared" si="17"/>
        <v/>
      </c>
      <c r="Y566" s="2" t="str">
        <f t="array" ref="Y566">IF(X566&lt;&gt;"",IFERROR(INDEX($AB$3:$AD$600,MATCH(1,($AB$3:$AB$600=W566)*($AC$3:$AC$600=X566),0),3),"Don’t Exists"),"")</f>
        <v/>
      </c>
      <c r="AA566" s="2" t="str">
        <f t="shared" si="16"/>
        <v/>
      </c>
    </row>
    <row r="567" spans="22:27" x14ac:dyDescent="0.15">
      <c r="V567" s="2" t="str">
        <f t="shared" si="17"/>
        <v/>
      </c>
      <c r="Y567" s="2" t="str">
        <f t="array" ref="Y567">IF(X567&lt;&gt;"",IFERROR(INDEX($AB$3:$AD$600,MATCH(1,($AB$3:$AB$600=W567)*($AC$3:$AC$600=X567),0),3),"Don’t Exists"),"")</f>
        <v/>
      </c>
      <c r="AA567" s="2" t="str">
        <f t="shared" si="16"/>
        <v/>
      </c>
    </row>
    <row r="568" spans="22:27" x14ac:dyDescent="0.15">
      <c r="V568" s="2" t="str">
        <f t="shared" si="17"/>
        <v/>
      </c>
      <c r="Y568" s="2" t="str">
        <f t="array" ref="Y568">IF(X568&lt;&gt;"",IFERROR(INDEX($AB$3:$AD$600,MATCH(1,($AB$3:$AB$600=W568)*($AC$3:$AC$600=X568),0),3),"Don’t Exists"),"")</f>
        <v/>
      </c>
      <c r="AA568" s="2" t="str">
        <f t="shared" si="16"/>
        <v/>
      </c>
    </row>
    <row r="569" spans="22:27" x14ac:dyDescent="0.15">
      <c r="V569" s="2" t="str">
        <f t="shared" si="17"/>
        <v/>
      </c>
      <c r="Y569" s="2" t="str">
        <f t="array" ref="Y569">IF(X569&lt;&gt;"",IFERROR(INDEX($AB$3:$AD$600,MATCH(1,($AB$3:$AB$600=W569)*($AC$3:$AC$600=X569),0),3),"Don’t Exists"),"")</f>
        <v/>
      </c>
      <c r="AA569" s="2" t="str">
        <f t="shared" si="16"/>
        <v/>
      </c>
    </row>
    <row r="570" spans="22:27" x14ac:dyDescent="0.15">
      <c r="V570" s="2" t="str">
        <f t="shared" si="17"/>
        <v/>
      </c>
      <c r="Y570" s="2" t="str">
        <f t="array" ref="Y570">IF(X570&lt;&gt;"",IFERROR(INDEX($AB$3:$AD$600,MATCH(1,($AB$3:$AB$600=W570)*($AC$3:$AC$600=X570),0),3),"Don’t Exists"),"")</f>
        <v/>
      </c>
      <c r="AA570" s="2" t="str">
        <f t="shared" si="16"/>
        <v/>
      </c>
    </row>
    <row r="571" spans="22:27" x14ac:dyDescent="0.15">
      <c r="V571" s="2" t="str">
        <f t="shared" si="17"/>
        <v/>
      </c>
      <c r="Y571" s="2" t="str">
        <f t="array" ref="Y571">IF(X571&lt;&gt;"",IFERROR(INDEX($AB$3:$AD$600,MATCH(1,($AB$3:$AB$600=W571)*($AC$3:$AC$600=X571),0),3),"Don’t Exists"),"")</f>
        <v/>
      </c>
      <c r="AA571" s="2" t="str">
        <f t="shared" si="16"/>
        <v/>
      </c>
    </row>
    <row r="572" spans="22:27" x14ac:dyDescent="0.15">
      <c r="V572" s="2" t="str">
        <f t="shared" si="17"/>
        <v/>
      </c>
      <c r="Y572" s="2" t="str">
        <f t="array" ref="Y572">IF(X572&lt;&gt;"",IFERROR(INDEX($AB$3:$AD$600,MATCH(1,($AB$3:$AB$600=W572)*($AC$3:$AC$600=X572),0),3),"Don’t Exists"),"")</f>
        <v/>
      </c>
      <c r="AA572" s="2" t="str">
        <f t="shared" si="16"/>
        <v/>
      </c>
    </row>
    <row r="573" spans="22:27" x14ac:dyDescent="0.15">
      <c r="V573" s="2" t="str">
        <f t="shared" si="17"/>
        <v/>
      </c>
      <c r="Y573" s="2" t="str">
        <f t="array" ref="Y573">IF(X573&lt;&gt;"",IFERROR(INDEX($AB$3:$AD$600,MATCH(1,($AB$3:$AB$600=W573)*($AC$3:$AC$600=X573),0),3),"Don’t Exists"),"")</f>
        <v/>
      </c>
      <c r="AA573" s="2" t="str">
        <f t="shared" si="16"/>
        <v/>
      </c>
    </row>
    <row r="574" spans="22:27" x14ac:dyDescent="0.15">
      <c r="V574" s="2" t="str">
        <f t="shared" si="17"/>
        <v/>
      </c>
      <c r="Y574" s="2" t="str">
        <f t="array" ref="Y574">IF(X574&lt;&gt;"",IFERROR(INDEX($AB$3:$AD$600,MATCH(1,($AB$3:$AB$600=W574)*($AC$3:$AC$600=X574),0),3),"Don’t Exists"),"")</f>
        <v/>
      </c>
      <c r="AA574" s="2" t="str">
        <f t="shared" si="16"/>
        <v/>
      </c>
    </row>
    <row r="575" spans="22:27" x14ac:dyDescent="0.15">
      <c r="V575" s="2" t="str">
        <f t="shared" si="17"/>
        <v/>
      </c>
      <c r="Y575" s="2" t="str">
        <f t="array" ref="Y575">IF(X575&lt;&gt;"",IFERROR(INDEX($AB$3:$AD$600,MATCH(1,($AB$3:$AB$600=W575)*($AC$3:$AC$600=X575),0),3),"Don’t Exists"),"")</f>
        <v/>
      </c>
      <c r="AA575" s="2" t="str">
        <f t="shared" si="16"/>
        <v/>
      </c>
    </row>
    <row r="576" spans="22:27" x14ac:dyDescent="0.15">
      <c r="V576" s="2" t="str">
        <f t="shared" si="17"/>
        <v/>
      </c>
      <c r="Y576" s="2" t="str">
        <f t="array" ref="Y576">IF(X576&lt;&gt;"",IFERROR(INDEX($AB$3:$AD$600,MATCH(1,($AB$3:$AB$600=W576)*($AC$3:$AC$600=X576),0),3),"Don’t Exists"),"")</f>
        <v/>
      </c>
      <c r="AA576" s="2" t="str">
        <f t="shared" si="16"/>
        <v/>
      </c>
    </row>
    <row r="577" spans="22:27" x14ac:dyDescent="0.15">
      <c r="V577" s="2" t="str">
        <f t="shared" si="17"/>
        <v/>
      </c>
      <c r="Y577" s="2" t="str">
        <f t="array" ref="Y577">IF(X577&lt;&gt;"",IFERROR(INDEX($AB$3:$AD$600,MATCH(1,($AB$3:$AB$600=W577)*($AC$3:$AC$600=X577),0),3),"Don’t Exists"),"")</f>
        <v/>
      </c>
      <c r="AA577" s="2" t="str">
        <f t="shared" si="16"/>
        <v/>
      </c>
    </row>
    <row r="578" spans="22:27" x14ac:dyDescent="0.15">
      <c r="V578" s="2" t="str">
        <f t="shared" si="17"/>
        <v/>
      </c>
      <c r="Y578" s="2" t="str">
        <f t="array" ref="Y578">IF(X578&lt;&gt;"",IFERROR(INDEX($AB$3:$AD$600,MATCH(1,($AB$3:$AB$600=W578)*($AC$3:$AC$600=X578),0),3),"Don’t Exists"),"")</f>
        <v/>
      </c>
      <c r="AA578" s="2" t="str">
        <f t="shared" si="16"/>
        <v/>
      </c>
    </row>
    <row r="579" spans="22:27" x14ac:dyDescent="0.15">
      <c r="V579" s="2" t="str">
        <f t="shared" si="17"/>
        <v/>
      </c>
      <c r="Y579" s="2" t="str">
        <f t="array" ref="Y579">IF(X579&lt;&gt;"",IFERROR(INDEX($AB$3:$AD$600,MATCH(1,($AB$3:$AB$600=W579)*($AC$3:$AC$600=X579),0),3),"Don’t Exists"),"")</f>
        <v/>
      </c>
      <c r="AA579" s="2" t="str">
        <f t="shared" si="16"/>
        <v/>
      </c>
    </row>
    <row r="580" spans="22:27" x14ac:dyDescent="0.15">
      <c r="V580" s="2" t="str">
        <f t="shared" si="17"/>
        <v/>
      </c>
      <c r="Y580" s="2" t="str">
        <f t="array" ref="Y580">IF(X580&lt;&gt;"",IFERROR(INDEX($AB$3:$AD$600,MATCH(1,($AB$3:$AB$600=W580)*($AC$3:$AC$600=X580),0),3),"Don’t Exists"),"")</f>
        <v/>
      </c>
      <c r="AA580" s="2" t="str">
        <f t="shared" ref="AA580:AA600" si="18">IF(AC580&lt;&gt;"",ROW()-2,"")</f>
        <v/>
      </c>
    </row>
    <row r="581" spans="22:27" x14ac:dyDescent="0.15">
      <c r="V581" s="2" t="str">
        <f t="shared" si="17"/>
        <v/>
      </c>
      <c r="Y581" s="2" t="str">
        <f t="array" ref="Y581">IF(X581&lt;&gt;"",IFERROR(INDEX($AB$3:$AD$600,MATCH(1,($AB$3:$AB$600=W581)*($AC$3:$AC$600=X581),0),3),"Don’t Exists"),"")</f>
        <v/>
      </c>
      <c r="AA581" s="2" t="str">
        <f t="shared" si="18"/>
        <v/>
      </c>
    </row>
    <row r="582" spans="22:27" x14ac:dyDescent="0.15">
      <c r="V582" s="2" t="str">
        <f t="shared" si="17"/>
        <v/>
      </c>
      <c r="Y582" s="2" t="str">
        <f t="array" ref="Y582">IF(X582&lt;&gt;"",IFERROR(INDEX($AB$3:$AD$600,MATCH(1,($AB$3:$AB$600=W582)*($AC$3:$AC$600=X582),0),3),"Don’t Exists"),"")</f>
        <v/>
      </c>
      <c r="AA582" s="2" t="str">
        <f t="shared" si="18"/>
        <v/>
      </c>
    </row>
    <row r="583" spans="22:27" x14ac:dyDescent="0.15">
      <c r="V583" s="2" t="str">
        <f t="shared" si="17"/>
        <v/>
      </c>
      <c r="Y583" s="2" t="str">
        <f t="array" ref="Y583">IF(X583&lt;&gt;"",IFERROR(INDEX($AB$3:$AD$600,MATCH(1,($AB$3:$AB$600=W583)*($AC$3:$AC$600=X583),0),3),"Don’t Exists"),"")</f>
        <v/>
      </c>
      <c r="AA583" s="2" t="str">
        <f t="shared" si="18"/>
        <v/>
      </c>
    </row>
    <row r="584" spans="22:27" x14ac:dyDescent="0.15">
      <c r="V584" s="2" t="str">
        <f t="shared" si="17"/>
        <v/>
      </c>
      <c r="Y584" s="2" t="str">
        <f t="array" ref="Y584">IF(X584&lt;&gt;"",IFERROR(INDEX($AB$3:$AD$600,MATCH(1,($AB$3:$AB$600=W584)*($AC$3:$AC$600=X584),0),3),"Don’t Exists"),"")</f>
        <v/>
      </c>
      <c r="AA584" s="2" t="str">
        <f t="shared" si="18"/>
        <v/>
      </c>
    </row>
    <row r="585" spans="22:27" x14ac:dyDescent="0.15">
      <c r="V585" s="2" t="str">
        <f t="shared" si="17"/>
        <v/>
      </c>
      <c r="Y585" s="2" t="str">
        <f t="array" ref="Y585">IF(X585&lt;&gt;"",IFERROR(INDEX($AB$3:$AD$600,MATCH(1,($AB$3:$AB$600=W585)*($AC$3:$AC$600=X585),0),3),"Don’t Exists"),"")</f>
        <v/>
      </c>
      <c r="AA585" s="2" t="str">
        <f t="shared" si="18"/>
        <v/>
      </c>
    </row>
    <row r="586" spans="22:27" x14ac:dyDescent="0.15">
      <c r="V586" s="2" t="str">
        <f t="shared" si="17"/>
        <v/>
      </c>
      <c r="Y586" s="2" t="str">
        <f t="array" ref="Y586">IF(X586&lt;&gt;"",IFERROR(INDEX($AB$3:$AD$600,MATCH(1,($AB$3:$AB$600=W586)*($AC$3:$AC$600=X586),0),3),"Don’t Exists"),"")</f>
        <v/>
      </c>
      <c r="AA586" s="2" t="str">
        <f t="shared" si="18"/>
        <v/>
      </c>
    </row>
    <row r="587" spans="22:27" x14ac:dyDescent="0.15">
      <c r="V587" s="2" t="str">
        <f t="shared" si="17"/>
        <v/>
      </c>
      <c r="Y587" s="2" t="str">
        <f t="array" ref="Y587">IF(X587&lt;&gt;"",IFERROR(INDEX($AB$3:$AD$600,MATCH(1,($AB$3:$AB$600=W587)*($AC$3:$AC$600=X587),0),3),"Don’t Exists"),"")</f>
        <v/>
      </c>
      <c r="AA587" s="2" t="str">
        <f t="shared" si="18"/>
        <v/>
      </c>
    </row>
    <row r="588" spans="22:27" x14ac:dyDescent="0.15">
      <c r="V588" s="2" t="str">
        <f t="shared" si="17"/>
        <v/>
      </c>
      <c r="Y588" s="2" t="str">
        <f t="array" ref="Y588">IF(X588&lt;&gt;"",IFERROR(INDEX($AB$3:$AD$600,MATCH(1,($AB$3:$AB$600=W588)*($AC$3:$AC$600=X588),0),3),"Don’t Exists"),"")</f>
        <v/>
      </c>
      <c r="AA588" s="2" t="str">
        <f t="shared" si="18"/>
        <v/>
      </c>
    </row>
    <row r="589" spans="22:27" x14ac:dyDescent="0.15">
      <c r="V589" s="2" t="str">
        <f t="shared" ref="V589:V600" si="19">IF(X589&lt;&gt;"",ROW()-ROW(V$11),"")</f>
        <v/>
      </c>
      <c r="Y589" s="2" t="str">
        <f t="array" ref="Y589">IF(X589&lt;&gt;"",IFERROR(INDEX($AB$3:$AD$600,MATCH(1,($AB$3:$AB$600=W589)*($AC$3:$AC$600=X589),0),3),"Don’t Exists"),"")</f>
        <v/>
      </c>
      <c r="AA589" s="2" t="str">
        <f t="shared" si="18"/>
        <v/>
      </c>
    </row>
    <row r="590" spans="22:27" x14ac:dyDescent="0.15">
      <c r="V590" s="2" t="str">
        <f t="shared" si="19"/>
        <v/>
      </c>
      <c r="Y590" s="2" t="str">
        <f t="array" ref="Y590">IF(X590&lt;&gt;"",IFERROR(INDEX($AB$3:$AD$600,MATCH(1,($AB$3:$AB$600=W590)*($AC$3:$AC$600=X590),0),3),"Don’t Exists"),"")</f>
        <v/>
      </c>
      <c r="AA590" s="2" t="str">
        <f t="shared" si="18"/>
        <v/>
      </c>
    </row>
    <row r="591" spans="22:27" x14ac:dyDescent="0.15">
      <c r="V591" s="2" t="str">
        <f t="shared" si="19"/>
        <v/>
      </c>
      <c r="Y591" s="2" t="str">
        <f t="array" ref="Y591">IF(X591&lt;&gt;"",IFERROR(INDEX($AB$3:$AD$600,MATCH(1,($AB$3:$AB$600=W591)*($AC$3:$AC$600=X591),0),3),"Don’t Exists"),"")</f>
        <v/>
      </c>
      <c r="AA591" s="2" t="str">
        <f t="shared" si="18"/>
        <v/>
      </c>
    </row>
    <row r="592" spans="22:27" x14ac:dyDescent="0.15">
      <c r="V592" s="2" t="str">
        <f t="shared" si="19"/>
        <v/>
      </c>
      <c r="Y592" s="2" t="str">
        <f t="array" ref="Y592">IF(X592&lt;&gt;"",IFERROR(INDEX($AB$3:$AD$600,MATCH(1,($AB$3:$AB$600=W592)*($AC$3:$AC$600=X592),0),3),"Don’t Exists"),"")</f>
        <v/>
      </c>
      <c r="AA592" s="2" t="str">
        <f t="shared" si="18"/>
        <v/>
      </c>
    </row>
    <row r="593" spans="22:27" x14ac:dyDescent="0.15">
      <c r="V593" s="2" t="str">
        <f t="shared" si="19"/>
        <v/>
      </c>
      <c r="Y593" s="2" t="str">
        <f t="array" ref="Y593">IF(X593&lt;&gt;"",IFERROR(INDEX($AB$3:$AD$600,MATCH(1,($AB$3:$AB$600=W593)*($AC$3:$AC$600=X593),0),3),"Don’t Exists"),"")</f>
        <v/>
      </c>
      <c r="AA593" s="2" t="str">
        <f t="shared" si="18"/>
        <v/>
      </c>
    </row>
    <row r="594" spans="22:27" x14ac:dyDescent="0.15">
      <c r="V594" s="2" t="str">
        <f t="shared" si="19"/>
        <v/>
      </c>
      <c r="Y594" s="2" t="str">
        <f t="array" ref="Y594">IF(X594&lt;&gt;"",IFERROR(INDEX($AB$3:$AD$600,MATCH(1,($AB$3:$AB$600=W594)*($AC$3:$AC$600=X594),0),3),"Don’t Exists"),"")</f>
        <v/>
      </c>
      <c r="AA594" s="2" t="str">
        <f t="shared" si="18"/>
        <v/>
      </c>
    </row>
    <row r="595" spans="22:27" x14ac:dyDescent="0.15">
      <c r="V595" s="2" t="str">
        <f t="shared" si="19"/>
        <v/>
      </c>
      <c r="Y595" s="2" t="str">
        <f t="array" ref="Y595">IF(X595&lt;&gt;"",IFERROR(INDEX($AB$3:$AD$600,MATCH(1,($AB$3:$AB$600=W595)*($AC$3:$AC$600=X595),0),3),"Don’t Exists"),"")</f>
        <v/>
      </c>
      <c r="AA595" s="2" t="str">
        <f t="shared" si="18"/>
        <v/>
      </c>
    </row>
    <row r="596" spans="22:27" x14ac:dyDescent="0.15">
      <c r="V596" s="2" t="str">
        <f t="shared" si="19"/>
        <v/>
      </c>
      <c r="Y596" s="2" t="str">
        <f t="array" ref="Y596">IF(X596&lt;&gt;"",IFERROR(INDEX($AB$3:$AD$600,MATCH(1,($AB$3:$AB$600=W596)*($AC$3:$AC$600=X596),0),3),"Don’t Exists"),"")</f>
        <v/>
      </c>
      <c r="AA596" s="2" t="str">
        <f t="shared" si="18"/>
        <v/>
      </c>
    </row>
    <row r="597" spans="22:27" x14ac:dyDescent="0.15">
      <c r="V597" s="2" t="str">
        <f t="shared" si="19"/>
        <v/>
      </c>
      <c r="Y597" s="2" t="str">
        <f t="array" ref="Y597">IF(X597&lt;&gt;"",IFERROR(INDEX($AB$3:$AD$600,MATCH(1,($AB$3:$AB$600=W597)*($AC$3:$AC$600=X597),0),3),"Don’t Exists"),"")</f>
        <v/>
      </c>
      <c r="AA597" s="2" t="str">
        <f t="shared" si="18"/>
        <v/>
      </c>
    </row>
    <row r="598" spans="22:27" x14ac:dyDescent="0.15">
      <c r="V598" s="2" t="str">
        <f t="shared" si="19"/>
        <v/>
      </c>
      <c r="Y598" s="2" t="str">
        <f t="array" ref="Y598">IF(X598&lt;&gt;"",IFERROR(INDEX($AB$3:$AD$600,MATCH(1,($AB$3:$AB$600=W598)*($AC$3:$AC$600=X598),0),3),"Don’t Exists"),"")</f>
        <v/>
      </c>
      <c r="AA598" s="2" t="str">
        <f t="shared" si="18"/>
        <v/>
      </c>
    </row>
    <row r="599" spans="22:27" x14ac:dyDescent="0.15">
      <c r="V599" s="2" t="str">
        <f t="shared" si="19"/>
        <v/>
      </c>
      <c r="Y599" s="2" t="str">
        <f t="array" ref="Y599">IF(X599&lt;&gt;"",IFERROR(INDEX($AB$3:$AD$600,MATCH(1,($AB$3:$AB$600=W599)*($AC$3:$AC$600=X599),0),3),"Don’t Exists"),"")</f>
        <v/>
      </c>
      <c r="AA599" s="2" t="str">
        <f t="shared" si="18"/>
        <v/>
      </c>
    </row>
    <row r="600" spans="22:27" x14ac:dyDescent="0.15">
      <c r="V600" s="2" t="str">
        <f t="shared" si="19"/>
        <v/>
      </c>
      <c r="Y600" s="2" t="str">
        <f t="array" ref="Y600">IF(X600&lt;&gt;"",IFERROR(INDEX($AB$3:$AD$600,MATCH(1,($AB$3:$AB$600=W600)*($AC$3:$AC$600=X600),0),3),"Don’t Exists"),"")</f>
        <v/>
      </c>
      <c r="AA600" s="2" t="str">
        <f t="shared" si="18"/>
        <v/>
      </c>
    </row>
  </sheetData>
  <mergeCells count="10">
    <mergeCell ref="CO1:CQ1"/>
    <mergeCell ref="V10:Y10"/>
    <mergeCell ref="AG1:AI1"/>
    <mergeCell ref="AA1:AD1"/>
    <mergeCell ref="A1:C1"/>
    <mergeCell ref="H1:J1"/>
    <mergeCell ref="O1:Q1"/>
    <mergeCell ref="CA1:CC1"/>
    <mergeCell ref="CH1:CJ1"/>
    <mergeCell ref="S1:V1"/>
  </mergeCells>
  <conditionalFormatting sqref="AA3:AD300">
    <cfRule type="expression" dxfId="18" priority="25">
      <formula>$AC3&lt;&gt;""</formula>
    </cfRule>
  </conditionalFormatting>
  <conditionalFormatting sqref="AA4:AA600">
    <cfRule type="expression" dxfId="17" priority="24">
      <formula>$AC4&lt;&gt;""</formula>
    </cfRule>
  </conditionalFormatting>
  <conditionalFormatting sqref="A2:C600">
    <cfRule type="expression" dxfId="16" priority="3">
      <formula>$A2="Y"</formula>
    </cfRule>
    <cfRule type="expression" dxfId="15" priority="21">
      <formula>$C2&lt;&gt;""</formula>
    </cfRule>
  </conditionalFormatting>
  <conditionalFormatting sqref="H2:J600">
    <cfRule type="expression" dxfId="14" priority="2">
      <formula>$H2="Y"</formula>
    </cfRule>
    <cfRule type="expression" dxfId="13" priority="20">
      <formula>$J2&lt;&gt;""</formula>
    </cfRule>
  </conditionalFormatting>
  <conditionalFormatting sqref="O2:Q600">
    <cfRule type="expression" dxfId="12" priority="1">
      <formula>$O2="Y"</formula>
    </cfRule>
    <cfRule type="expression" dxfId="11" priority="19">
      <formula>$Q2&lt;&gt;""</formula>
    </cfRule>
  </conditionalFormatting>
  <conditionalFormatting sqref="A8:B8">
    <cfRule type="expression" dxfId="10" priority="29">
      <formula>#REF!&lt;&gt;""</formula>
    </cfRule>
  </conditionalFormatting>
  <conditionalFormatting sqref="Y12:Y14">
    <cfRule type="expression" dxfId="9" priority="9">
      <formula>AND($Y12&lt;&gt;"",$Y12&lt;&gt;0)</formula>
    </cfRule>
    <cfRule type="expression" dxfId="8" priority="10">
      <formula>$Y12="Don’t Exists"</formula>
    </cfRule>
  </conditionalFormatting>
  <conditionalFormatting sqref="V12">
    <cfRule type="expression" dxfId="7" priority="7">
      <formula>AND($Y12&lt;&gt;"",$Y12&lt;&gt;0)</formula>
    </cfRule>
    <cfRule type="expression" dxfId="6" priority="8">
      <formula>$Y12="Don’t Exists"</formula>
    </cfRule>
  </conditionalFormatting>
  <conditionalFormatting sqref="V13:V600">
    <cfRule type="expression" dxfId="5" priority="5">
      <formula>AND($Y13&lt;&gt;"",$Y13&lt;&gt;0)</formula>
    </cfRule>
    <cfRule type="expression" dxfId="4" priority="6">
      <formula>$Y13="Don’t Exists"</formula>
    </cfRule>
  </conditionalFormatting>
  <conditionalFormatting sqref="W12:Y600">
    <cfRule type="expression" dxfId="3" priority="22">
      <formula>AND($Y12&lt;&gt;"",$Y12&lt;&gt;0)</formula>
    </cfRule>
    <cfRule type="expression" dxfId="2" priority="23">
      <formula>$Y12="Don’t Exists"</formula>
    </cfRule>
  </conditionalFormatting>
  <conditionalFormatting sqref="AG5:AI300 AG4 AI4 AH3:AI3">
    <cfRule type="expression" dxfId="1" priority="30">
      <formula>$AH3&lt;&gt;""</formula>
    </cfRule>
  </conditionalFormatting>
  <conditionalFormatting sqref="AG3">
    <cfRule type="expression" dxfId="0" priority="44">
      <formula>#REF!&lt;&gt;""</formula>
    </cfRule>
  </conditionalFormatting>
  <dataValidations count="5">
    <dataValidation type="list" allowBlank="1" showInputMessage="1" showErrorMessage="1" sqref="W12:W600">
      <formula1>"Drive,Repeatative,Excel"</formula1>
    </dataValidation>
    <dataValidation type="list" allowBlank="1" showInputMessage="1" showErrorMessage="1" sqref="X12:X600">
      <formula1>OFFSET($AC$3,0,0,COUNTA($AC$3:$AC$600),1)</formula1>
    </dataValidation>
    <dataValidation type="list" allowBlank="1" showInputMessage="1" showErrorMessage="1" sqref="A2:A600 H2:H1048576 O2:O1048576">
      <formula1>"Y,N"</formula1>
    </dataValidation>
    <dataValidation type="list" allowBlank="1" showInputMessage="1" showErrorMessage="1" sqref="S1:V1">
      <formula1>"TS,WS"</formula1>
    </dataValidation>
    <dataValidation type="list" allowBlank="1" showInputMessage="1" showErrorMessage="1" sqref="X7">
      <formula1>OFFSET($AH$3,0,0,COUNTA($AH$3:$AH$600),1)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B050"/>
  </sheetPr>
  <dimension ref="B1:H9"/>
  <sheetViews>
    <sheetView workbookViewId="0">
      <selection activeCell="D7" sqref="D7:E7"/>
    </sheetView>
  </sheetViews>
  <sheetFormatPr baseColWidth="10" defaultColWidth="8.83203125" defaultRowHeight="15" x14ac:dyDescent="0.2"/>
  <cols>
    <col min="1" max="3" width="3.83203125" customWidth="1"/>
    <col min="7" max="8" width="3.83203125" customWidth="1"/>
  </cols>
  <sheetData>
    <row r="1" spans="2:8" ht="16" thickBot="1" x14ac:dyDescent="0.25"/>
    <row r="2" spans="2:8" ht="12.75" customHeight="1" x14ac:dyDescent="0.2">
      <c r="B2" s="116"/>
      <c r="C2" s="117"/>
      <c r="D2" s="117"/>
      <c r="E2" s="117"/>
      <c r="F2" s="117"/>
      <c r="G2" s="117"/>
      <c r="H2" s="118"/>
    </row>
    <row r="3" spans="2:8" ht="12.75" customHeight="1" thickBot="1" x14ac:dyDescent="0.25">
      <c r="B3" s="112"/>
      <c r="C3" s="119" t="s">
        <v>93</v>
      </c>
      <c r="D3" s="120"/>
      <c r="E3" s="120"/>
      <c r="F3" s="120"/>
      <c r="G3" s="119"/>
      <c r="H3" s="113"/>
    </row>
    <row r="4" spans="2:8" ht="12.75" customHeight="1" x14ac:dyDescent="0.2">
      <c r="B4" s="112"/>
      <c r="C4" s="114"/>
      <c r="D4" s="121" t="s">
        <v>94</v>
      </c>
      <c r="E4" s="122"/>
      <c r="F4" s="21"/>
      <c r="G4" s="115"/>
      <c r="H4" s="113"/>
    </row>
    <row r="5" spans="2:8" ht="12.75" customHeight="1" x14ac:dyDescent="0.2">
      <c r="B5" s="112"/>
      <c r="C5" s="114"/>
      <c r="D5" s="123" t="s">
        <v>95</v>
      </c>
      <c r="E5" s="124"/>
      <c r="F5" s="22"/>
      <c r="G5" s="115"/>
      <c r="H5" s="113"/>
    </row>
    <row r="6" spans="2:8" ht="12.75" customHeight="1" x14ac:dyDescent="0.2">
      <c r="B6" s="112"/>
      <c r="C6" s="114"/>
      <c r="D6" s="125" t="s">
        <v>97</v>
      </c>
      <c r="E6" s="126"/>
      <c r="F6" s="23"/>
      <c r="G6" s="115"/>
      <c r="H6" s="113"/>
    </row>
    <row r="7" spans="2:8" ht="12.75" customHeight="1" thickBot="1" x14ac:dyDescent="0.25">
      <c r="B7" s="112"/>
      <c r="C7" s="114"/>
      <c r="D7" s="105" t="s">
        <v>96</v>
      </c>
      <c r="E7" s="106"/>
      <c r="F7" s="24"/>
      <c r="G7" s="115"/>
      <c r="H7" s="113"/>
    </row>
    <row r="8" spans="2:8" ht="12.75" customHeight="1" x14ac:dyDescent="0.2">
      <c r="B8" s="112"/>
      <c r="C8" s="107"/>
      <c r="D8" s="108"/>
      <c r="E8" s="108"/>
      <c r="F8" s="108"/>
      <c r="G8" s="107"/>
      <c r="H8" s="113"/>
    </row>
    <row r="9" spans="2:8" ht="12.75" customHeight="1" thickBot="1" x14ac:dyDescent="0.25">
      <c r="B9" s="109"/>
      <c r="C9" s="110"/>
      <c r="D9" s="110"/>
      <c r="E9" s="110"/>
      <c r="F9" s="110"/>
      <c r="G9" s="110"/>
      <c r="H9" s="111"/>
    </row>
  </sheetData>
  <mergeCells count="12">
    <mergeCell ref="B2:H2"/>
    <mergeCell ref="C3:G3"/>
    <mergeCell ref="D4:E4"/>
    <mergeCell ref="D5:E5"/>
    <mergeCell ref="D6:E6"/>
    <mergeCell ref="D7:E7"/>
    <mergeCell ref="C8:G8"/>
    <mergeCell ref="B9:H9"/>
    <mergeCell ref="B3:B8"/>
    <mergeCell ref="H3:H8"/>
    <mergeCell ref="C4:C7"/>
    <mergeCell ref="G4:G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</vt:lpstr>
      <vt:lpstr>Drive</vt:lpstr>
      <vt:lpstr>TestCases</vt:lpstr>
      <vt:lpstr>Status</vt:lpstr>
    </vt:vector>
  </TitlesOfParts>
  <Company>Infosys Ltd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Rajat Shandilya</dc:creator>
  <cp:lastModifiedBy>Microsoft Office User</cp:lastModifiedBy>
  <dcterms:created xsi:type="dcterms:W3CDTF">2019-08-09T06:30:23Z</dcterms:created>
  <dcterms:modified xsi:type="dcterms:W3CDTF">2020-06-30T09:05:38Z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4b3411-284d-4d31-bd4f-bc13ef7f1fd6_Enabled">
    <vt:lpwstr>True</vt:lpwstr>
  </property>
  <property fmtid="{D5CDD505-2E9C-101B-9397-08002B2CF9AE}" pid="3" name="MSIP_Label_be4b3411-284d-4d31-bd4f-bc13ef7f1fd6_SiteId">
    <vt:lpwstr>63ce7d59-2f3e-42cd-a8cc-be764cff5eb6</vt:lpwstr>
  </property>
  <property fmtid="{D5CDD505-2E9C-101B-9397-08002B2CF9AE}" pid="4" name="MSIP_Label_be4b3411-284d-4d31-bd4f-bc13ef7f1fd6_Owner">
    <vt:lpwstr>Rajat_Shandilya@ad.infosys.com</vt:lpwstr>
  </property>
  <property fmtid="{D5CDD505-2E9C-101B-9397-08002B2CF9AE}" pid="5" name="MSIP_Label_be4b3411-284d-4d31-bd4f-bc13ef7f1fd6_SetDate">
    <vt:lpwstr>2019-08-09T06:33:30.5104555Z</vt:lpwstr>
  </property>
  <property fmtid="{D5CDD505-2E9C-101B-9397-08002B2CF9AE}" pid="6" name="MSIP_Label_be4b3411-284d-4d31-bd4f-bc13ef7f1fd6_Name">
    <vt:lpwstr>Internal</vt:lpwstr>
  </property>
  <property fmtid="{D5CDD505-2E9C-101B-9397-08002B2CF9AE}" pid="7" name="MSIP_Label_be4b3411-284d-4d31-bd4f-bc13ef7f1fd6_Application">
    <vt:lpwstr>Microsoft Azure Information Protection</vt:lpwstr>
  </property>
  <property fmtid="{D5CDD505-2E9C-101B-9397-08002B2CF9AE}" pid="8" name="MSIP_Label_be4b3411-284d-4d31-bd4f-bc13ef7f1fd6_ActionId">
    <vt:lpwstr>c71b09c4-3b04-4602-9d7e-e5236752bd6d</vt:lpwstr>
  </property>
  <property fmtid="{D5CDD505-2E9C-101B-9397-08002B2CF9AE}" pid="9" name="MSIP_Label_be4b3411-284d-4d31-bd4f-bc13ef7f1fd6_Extended_MSFT_Method">
    <vt:lpwstr>Automatic</vt:lpwstr>
  </property>
  <property fmtid="{D5CDD505-2E9C-101B-9397-08002B2CF9AE}" pid="10" name="MSIP_Label_a0819fa7-4367-4500-ba88-dd630d977609_Enabled">
    <vt:lpwstr>True</vt:lpwstr>
  </property>
  <property fmtid="{D5CDD505-2E9C-101B-9397-08002B2CF9AE}" pid="11" name="MSIP_Label_a0819fa7-4367-4500-ba88-dd630d977609_SiteId">
    <vt:lpwstr>63ce7d59-2f3e-42cd-a8cc-be764cff5eb6</vt:lpwstr>
  </property>
  <property fmtid="{D5CDD505-2E9C-101B-9397-08002B2CF9AE}" pid="12" name="MSIP_Label_a0819fa7-4367-4500-ba88-dd630d977609_Owner">
    <vt:lpwstr>Rajat_Shandilya@ad.infosys.com</vt:lpwstr>
  </property>
  <property fmtid="{D5CDD505-2E9C-101B-9397-08002B2CF9AE}" pid="13" name="MSIP_Label_a0819fa7-4367-4500-ba88-dd630d977609_SetDate">
    <vt:lpwstr>2019-08-09T06:33:30.5104555Z</vt:lpwstr>
  </property>
  <property fmtid="{D5CDD505-2E9C-101B-9397-08002B2CF9AE}" pid="14" name="MSIP_Label_a0819fa7-4367-4500-ba88-dd630d977609_Name">
    <vt:lpwstr>Companywide usage</vt:lpwstr>
  </property>
  <property fmtid="{D5CDD505-2E9C-101B-9397-08002B2CF9AE}" pid="15" name="MSIP_Label_a0819fa7-4367-4500-ba88-dd630d977609_Application">
    <vt:lpwstr>Microsoft Azure Information Protection</vt:lpwstr>
  </property>
  <property fmtid="{D5CDD505-2E9C-101B-9397-08002B2CF9AE}" pid="16" name="MSIP_Label_a0819fa7-4367-4500-ba88-dd630d977609_ActionId">
    <vt:lpwstr>c71b09c4-3b04-4602-9d7e-e5236752bd6d</vt:lpwstr>
  </property>
  <property fmtid="{D5CDD505-2E9C-101B-9397-08002B2CF9AE}" pid="17" name="MSIP_Label_a0819fa7-4367-4500-ba88-dd630d977609_Parent">
    <vt:lpwstr>be4b3411-284d-4d31-bd4f-bc13ef7f1fd6</vt:lpwstr>
  </property>
  <property fmtid="{D5CDD505-2E9C-101B-9397-08002B2CF9AE}" pid="18" name="MSIP_Label_a0819fa7-4367-4500-ba88-dd630d977609_Extended_MSFT_Method">
    <vt:lpwstr>Automatic</vt:lpwstr>
  </property>
  <property fmtid="{D5CDD505-2E9C-101B-9397-08002B2CF9AE}" pid="19" name="Sensitivity">
    <vt:lpwstr>Internal Companywide usage</vt:lpwstr>
  </property>
</Properties>
</file>